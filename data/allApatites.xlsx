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ACTIVE_RUPERT\CODE\PYTHON_PROJ\TAM\data\"/>
    </mc:Choice>
  </mc:AlternateContent>
  <xr:revisionPtr revIDLastSave="0" documentId="13_ncr:1_{BEFD3388-33DF-46DA-B176-96AD1B872612}" xr6:coauthVersionLast="44" xr6:coauthVersionMax="44" xr10:uidLastSave="{00000000-0000-0000-0000-000000000000}"/>
  <bookViews>
    <workbookView xWindow="15210" yWindow="-14265" windowWidth="18975" windowHeight="12945" xr2:uid="{4F3F1F58-4EC1-4FD9-9CB3-221550A1B747}"/>
  </bookViews>
  <sheets>
    <sheet name="allapatites" sheetId="1" r:id="rId1"/>
  </sheets>
  <definedNames>
    <definedName name="allrows">allapatites!$2:$328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</calcChain>
</file>

<file path=xl/sharedStrings.xml><?xml version="1.0" encoding="utf-8"?>
<sst xmlns="http://schemas.openxmlformats.org/spreadsheetml/2006/main" count="5027" uniqueCount="475">
  <si>
    <t>Collection_Concat</t>
  </si>
  <si>
    <t>AREA</t>
  </si>
  <si>
    <t>Collectors</t>
  </si>
  <si>
    <t>Longitude</t>
  </si>
  <si>
    <t>Latitude</t>
  </si>
  <si>
    <t>Accuracy</t>
  </si>
  <si>
    <t>Site_Description</t>
  </si>
  <si>
    <t>Top_Depth/Sample_Elevation</t>
  </si>
  <si>
    <t>In_Situ</t>
  </si>
  <si>
    <t>Rock_Description</t>
  </si>
  <si>
    <t>Colour</t>
  </si>
  <si>
    <t>Stratigraphic_Unit</t>
  </si>
  <si>
    <t>Rock_Types</t>
  </si>
  <si>
    <t>Age_Min</t>
  </si>
  <si>
    <t>Age_Max</t>
  </si>
  <si>
    <t>Sample_Types</t>
  </si>
  <si>
    <t>Comments</t>
  </si>
  <si>
    <t>Bib_Refs</t>
  </si>
  <si>
    <t>Lab_Sample_ID</t>
  </si>
  <si>
    <t>Material</t>
  </si>
  <si>
    <t>Part_Analysed</t>
  </si>
  <si>
    <t>Investigator</t>
  </si>
  <si>
    <t>Analysis_Method</t>
  </si>
  <si>
    <t>Geochron_Method</t>
  </si>
  <si>
    <t>Laboratory</t>
  </si>
  <si>
    <t>Lab_Number</t>
  </si>
  <si>
    <t>Analysis_Date</t>
  </si>
  <si>
    <t>track_rho_std</t>
  </si>
  <si>
    <t>track_N_std</t>
  </si>
  <si>
    <t>track_rho_spon</t>
  </si>
  <si>
    <t>track_N_spon</t>
  </si>
  <si>
    <t>track_rho_ind</t>
  </si>
  <si>
    <t>track_N_ind</t>
  </si>
  <si>
    <t>prob_chi2_pct</t>
  </si>
  <si>
    <t>track_length_mean</t>
  </si>
  <si>
    <t>track_length_std_err</t>
  </si>
  <si>
    <t>track_length_2sig</t>
  </si>
  <si>
    <t>track_length_num</t>
  </si>
  <si>
    <t>Age_Ma</t>
  </si>
  <si>
    <t>Age_2sigma</t>
  </si>
  <si>
    <t>1sigma</t>
  </si>
  <si>
    <t>P74845</t>
  </si>
  <si>
    <t>K104-0506 &amp; Sutherland, R.</t>
  </si>
  <si>
    <t>Shipley Glacier</t>
  </si>
  <si>
    <t>Yes</t>
  </si>
  <si>
    <t>Weakly foliated greywacke</t>
  </si>
  <si>
    <t>Robertson Bay Group</t>
  </si>
  <si>
    <t>sandst</t>
  </si>
  <si>
    <t>Ordovician</t>
  </si>
  <si>
    <t>Cambrian</t>
  </si>
  <si>
    <t>H, TS, sep, x</t>
  </si>
  <si>
    <t>1040hrs</t>
  </si>
  <si>
    <t>apatite</t>
  </si>
  <si>
    <t>Fitzgerald, P.G.</t>
  </si>
  <si>
    <t>geochron methods</t>
  </si>
  <si>
    <t>fission track</t>
  </si>
  <si>
    <t>A to Z Inc</t>
  </si>
  <si>
    <t>944-01</t>
  </si>
  <si>
    <t>P74847</t>
  </si>
  <si>
    <t>1110hrs</t>
  </si>
  <si>
    <t>944-02</t>
  </si>
  <si>
    <t>P74848</t>
  </si>
  <si>
    <t>Mount Minto</t>
  </si>
  <si>
    <t>Coarse grained weakly foliated greywacke</t>
  </si>
  <si>
    <t>944-03</t>
  </si>
  <si>
    <t>P74852</t>
  </si>
  <si>
    <t>1205hrs</t>
  </si>
  <si>
    <t>944-04</t>
  </si>
  <si>
    <t>P74856</t>
  </si>
  <si>
    <t>Geikie Ridge</t>
  </si>
  <si>
    <t>1415hrs</t>
  </si>
  <si>
    <t>944-05</t>
  </si>
  <si>
    <t>P74857</t>
  </si>
  <si>
    <t>1425hrs</t>
  </si>
  <si>
    <t>944-06</t>
  </si>
  <si>
    <t>P74858</t>
  </si>
  <si>
    <t>Geikie Ridge, SE end midway betw Minto and Sabine</t>
  </si>
  <si>
    <t>944-07</t>
  </si>
  <si>
    <t>P74860</t>
  </si>
  <si>
    <t>SE Geikie Ridge</t>
  </si>
  <si>
    <t>1452hrs</t>
  </si>
  <si>
    <t>944-08</t>
  </si>
  <si>
    <t>P74862</t>
  </si>
  <si>
    <t>Flank of Mount Robinson</t>
  </si>
  <si>
    <t>1516hrs</t>
  </si>
  <si>
    <t>944-09</t>
  </si>
  <si>
    <t>P74863</t>
  </si>
  <si>
    <t>Base of Mount Robinson</t>
  </si>
  <si>
    <t>1525hrs</t>
  </si>
  <si>
    <t>944-10</t>
  </si>
  <si>
    <t>P74804</t>
  </si>
  <si>
    <t>Ridge above SE side Colbeck Bay</t>
  </si>
  <si>
    <t>1600hrs</t>
  </si>
  <si>
    <t>876-01</t>
  </si>
  <si>
    <t>P74814</t>
  </si>
  <si>
    <t>K104-0506 &amp; Mortimer, N.</t>
  </si>
  <si>
    <t>Coast, SE side Colbeck Bay</t>
  </si>
  <si>
    <t>Medium grained weakly foliated greywacke</t>
  </si>
  <si>
    <t>876-02</t>
  </si>
  <si>
    <t>P74853</t>
  </si>
  <si>
    <t>Mount Sabine</t>
  </si>
  <si>
    <t>1227hrs</t>
  </si>
  <si>
    <t>876-03</t>
  </si>
  <si>
    <t>P74854</t>
  </si>
  <si>
    <t>1238hrs</t>
  </si>
  <si>
    <t>876-04</t>
  </si>
  <si>
    <t>P74855</t>
  </si>
  <si>
    <t>1252hrs</t>
  </si>
  <si>
    <t>876-05</t>
  </si>
  <si>
    <t>P74861</t>
  </si>
  <si>
    <t>Mount Robinson</t>
  </si>
  <si>
    <t>Hornblende diorite</t>
  </si>
  <si>
    <t>Admiralty Intrusives</t>
  </si>
  <si>
    <t>dior</t>
  </si>
  <si>
    <t>Carboniferous</t>
  </si>
  <si>
    <t>Devonian</t>
  </si>
  <si>
    <t>1508hrs</t>
  </si>
  <si>
    <t>876-06</t>
  </si>
  <si>
    <t>P74868</t>
  </si>
  <si>
    <t>Isaac, M.J. &amp; K104-0506</t>
  </si>
  <si>
    <t>Turret Island (world's best lunch spot)</t>
  </si>
  <si>
    <t>1352hrs</t>
  </si>
  <si>
    <t>876-07</t>
  </si>
  <si>
    <t>P74869</t>
  </si>
  <si>
    <t>Dubridge Range near Mount Locke</t>
  </si>
  <si>
    <t>1459hrs</t>
  </si>
  <si>
    <t>876-08</t>
  </si>
  <si>
    <t>P74875</t>
  </si>
  <si>
    <t>Cape Scott</t>
  </si>
  <si>
    <t>Almost</t>
  </si>
  <si>
    <t>876-09</t>
  </si>
  <si>
    <t>P74877</t>
  </si>
  <si>
    <t>Ridge N of Quartermain point</t>
  </si>
  <si>
    <t>Granite</t>
  </si>
  <si>
    <t>grnt</t>
  </si>
  <si>
    <t>1011hrs</t>
  </si>
  <si>
    <t>876-10</t>
  </si>
  <si>
    <t>P74878</t>
  </si>
  <si>
    <t>1016hrs</t>
  </si>
  <si>
    <t>876-11</t>
  </si>
  <si>
    <t>P74881</t>
  </si>
  <si>
    <t>Small beach near Cape Christie</t>
  </si>
  <si>
    <t>1047hrs</t>
  </si>
  <si>
    <t>876-12</t>
  </si>
  <si>
    <t>P74882</t>
  </si>
  <si>
    <t>Ridge above Cape Christie</t>
  </si>
  <si>
    <t>1059hrs</t>
  </si>
  <si>
    <t>876-13</t>
  </si>
  <si>
    <t>Sutherland, R.</t>
  </si>
  <si>
    <t>U-Th-He</t>
  </si>
  <si>
    <t>Syracuse U</t>
  </si>
  <si>
    <t>R31727</t>
  </si>
  <si>
    <t>McMahon Glacier</t>
  </si>
  <si>
    <t>Basement, presume granitoid</t>
  </si>
  <si>
    <t>H, sep</t>
  </si>
  <si>
    <t>R31728</t>
  </si>
  <si>
    <t>Yule Bay</t>
  </si>
  <si>
    <t>R31729</t>
  </si>
  <si>
    <t>Balestrieri-AP1</t>
  </si>
  <si>
    <t>Balestrieri, M.L. &amp; Bigazzi, G. &amp; Ghezzo, C.</t>
  </si>
  <si>
    <t>Northern Victoria Land, Mt McGee</t>
  </si>
  <si>
    <t>Granite Habour Intrusives</t>
  </si>
  <si>
    <t>H</t>
  </si>
  <si>
    <t>Balestrieri, M.L.</t>
  </si>
  <si>
    <t>U Pisa</t>
  </si>
  <si>
    <t>Balestrieri-B1</t>
  </si>
  <si>
    <t>Northern Victoria Land, O'Kane Canyon</t>
  </si>
  <si>
    <t>Metamorphic complex</t>
  </si>
  <si>
    <t>Wilson Terrane</t>
  </si>
  <si>
    <t>grysch</t>
  </si>
  <si>
    <t>Balestrieri-B3</t>
  </si>
  <si>
    <t>Northern Victoria Land, Mt Baxter</t>
  </si>
  <si>
    <t>Balestrieri-B8</t>
  </si>
  <si>
    <t>Northern Victoria Land, Random Hills</t>
  </si>
  <si>
    <t>Balestrieri-BC1</t>
  </si>
  <si>
    <t>Northern Victoria Land,  Mt Matz</t>
  </si>
  <si>
    <t>Balestrieri-BC2</t>
  </si>
  <si>
    <t>Balestrieri-BC3</t>
  </si>
  <si>
    <t>Balestrieri-BC4</t>
  </si>
  <si>
    <t>Balestrieri-BC5</t>
  </si>
  <si>
    <t>Balestrieri-BC7</t>
  </si>
  <si>
    <t>Northern Victoria Land, Andersson Ridge</t>
  </si>
  <si>
    <t>Balestrieri-C1</t>
  </si>
  <si>
    <t>Mt Nansen</t>
  </si>
  <si>
    <t>Balestrieri-C17</t>
  </si>
  <si>
    <t>Balestrieri-C2</t>
  </si>
  <si>
    <t>Balestrieri-C3</t>
  </si>
  <si>
    <t>Balestrieri-C4A</t>
  </si>
  <si>
    <t>Balestrieri-C5</t>
  </si>
  <si>
    <t>Balestrieri-C6</t>
  </si>
  <si>
    <t>Balestrieri-C71</t>
  </si>
  <si>
    <t>Balestrieri-C71S</t>
  </si>
  <si>
    <t>Balestrieri-C8</t>
  </si>
  <si>
    <t>Balestrieri-C9A</t>
  </si>
  <si>
    <t>Balestrieri-FP7</t>
  </si>
  <si>
    <t>Northern Victoria Land, SW Mt Moriarty</t>
  </si>
  <si>
    <t>Balestrieri-G16B</t>
  </si>
  <si>
    <t>Northern Victoria Land, Priestley Glacier</t>
  </si>
  <si>
    <t>Balestrieri-L1</t>
  </si>
  <si>
    <t>Northern Victoria Land, Adelie Cove</t>
  </si>
  <si>
    <t>Balestrieri-L11</t>
  </si>
  <si>
    <t>Northern Victoria Land, Inexpressible Island</t>
  </si>
  <si>
    <t>Balestrieri-L12</t>
  </si>
  <si>
    <t>Northern Victoria Land, O'Kane Glacier</t>
  </si>
  <si>
    <t>Balestrieri-L14</t>
  </si>
  <si>
    <t>Northern Victoria Land, Mt Abbot (west side)</t>
  </si>
  <si>
    <t>Balestrieri-L5</t>
  </si>
  <si>
    <t>Northern Victoria Land, Cape Canwe</t>
  </si>
  <si>
    <t>Balestrieri-PB1</t>
  </si>
  <si>
    <t>Northern Victoria Land, Mt Gibbs</t>
  </si>
  <si>
    <t>Balestrieri-PB13</t>
  </si>
  <si>
    <t>Northern Victoria Land, Mt Monteagle</t>
  </si>
  <si>
    <t>Balestrieri-PB3</t>
  </si>
  <si>
    <t>Balestrieri-PB4</t>
  </si>
  <si>
    <t>Balestrieri-PB5</t>
  </si>
  <si>
    <t>Balestrieri-PB6</t>
  </si>
  <si>
    <t>Balestrieri-PB7</t>
  </si>
  <si>
    <t>Balestrieri-PBB1</t>
  </si>
  <si>
    <t>Northern Victoria Land, Mt Burrows</t>
  </si>
  <si>
    <t>Balestrieri-PBB10</t>
  </si>
  <si>
    <t>Balestrieri-PBB2</t>
  </si>
  <si>
    <t>Balestrieri-PBB3</t>
  </si>
  <si>
    <t>Balestrieri-PBB4</t>
  </si>
  <si>
    <t>Balestrieri-PBB5</t>
  </si>
  <si>
    <t>Balestrieri-PBB6</t>
  </si>
  <si>
    <t>Balestrieri-PBB7</t>
  </si>
  <si>
    <t>Balestrieri-PBB8</t>
  </si>
  <si>
    <t>Balestrieri-PBB9</t>
  </si>
  <si>
    <t>BalestrieriMont-PB1</t>
  </si>
  <si>
    <t>BalestrieriMont-PB14</t>
  </si>
  <si>
    <t>BalestrieriMont-PB15</t>
  </si>
  <si>
    <t>BalestrieriMont-PB16</t>
  </si>
  <si>
    <t>BalestrieriMont-PB17</t>
  </si>
  <si>
    <t>BalestrieriMont-PB18</t>
  </si>
  <si>
    <t>BalestrieriMont-PB19</t>
  </si>
  <si>
    <t>BalestrieriMont-PB20</t>
  </si>
  <si>
    <t>BalestrieriMont-PB21</t>
  </si>
  <si>
    <t>BalestrieriMont-PB22</t>
  </si>
  <si>
    <t>BalestrieriMont-PB23</t>
  </si>
  <si>
    <t>BalestrieriMont-PB4</t>
  </si>
  <si>
    <t>BalestrieriMont-PB6</t>
  </si>
  <si>
    <t>BalestrieriTink-BD1</t>
  </si>
  <si>
    <t>Northern Victoria Land, Tinker Glacier</t>
  </si>
  <si>
    <t>BalestrieriTink-BD2</t>
  </si>
  <si>
    <t>BalestrieriTink-BD3</t>
  </si>
  <si>
    <t>BalestrieriTink-BD5</t>
  </si>
  <si>
    <t>BalestrieriTink-BD7</t>
  </si>
  <si>
    <t>BalestrieriTink-BD8</t>
  </si>
  <si>
    <t>R22501</t>
  </si>
  <si>
    <t>Mount England vertical profile, rib to left of centre couloir, North face</t>
  </si>
  <si>
    <t xml:space="preserve">Granite </t>
  </si>
  <si>
    <t>U Melbourne</t>
  </si>
  <si>
    <t>R22502</t>
  </si>
  <si>
    <t>Mount McLennan</t>
  </si>
  <si>
    <t>Approximate outcrop elevation</t>
  </si>
  <si>
    <t>a</t>
  </si>
  <si>
    <t>b</t>
  </si>
  <si>
    <t>R22503</t>
  </si>
  <si>
    <t>South of Mackay Glacier (granite habour area), couloir cliffs, trig point</t>
  </si>
  <si>
    <t>R22506</t>
  </si>
  <si>
    <t>North of Mackay Glacier (granite habour), Gregory island</t>
  </si>
  <si>
    <t>R22507</t>
  </si>
  <si>
    <t>South of Mackay Glacier (granite habour area), Cape Roberts</t>
  </si>
  <si>
    <t>mean</t>
  </si>
  <si>
    <t>mean age</t>
  </si>
  <si>
    <t>R22508</t>
  </si>
  <si>
    <t>North of Mackay Glacier (granite habour), The Dreikanter, Summit</t>
  </si>
  <si>
    <t>R22514</t>
  </si>
  <si>
    <t>R22518</t>
  </si>
  <si>
    <t>R22519</t>
  </si>
  <si>
    <t>R22520</t>
  </si>
  <si>
    <t>R22521</t>
  </si>
  <si>
    <t>R22522</t>
  </si>
  <si>
    <t>South of Mackay Glacier (granite habour area), The flatiron, finger point</t>
  </si>
  <si>
    <t>R22523</t>
  </si>
  <si>
    <t>R22524</t>
  </si>
  <si>
    <t>South of Mackay Glacier (granite habour area), first view point</t>
  </si>
  <si>
    <t>R22525</t>
  </si>
  <si>
    <t>South of Mackay Glacier (granite habour area), Couloir Bay, east side</t>
  </si>
  <si>
    <t>R22526</t>
  </si>
  <si>
    <t>South of Mackay Glacier (granite habour area),western side</t>
  </si>
  <si>
    <t>R22527</t>
  </si>
  <si>
    <t>South of Mackay Glacier (granite habour area), Avalanche Bay</t>
  </si>
  <si>
    <t>R22528</t>
  </si>
  <si>
    <t>R22529</t>
  </si>
  <si>
    <t>R22530</t>
  </si>
  <si>
    <t>R22534</t>
  </si>
  <si>
    <t>South of Mackay Glacier (granite habour area), Discovery Bay</t>
  </si>
  <si>
    <t>R22541</t>
  </si>
  <si>
    <t>South of Mackay Glacier (granite habour area), Red Ridge</t>
  </si>
  <si>
    <t>R22543</t>
  </si>
  <si>
    <t>R22548</t>
  </si>
  <si>
    <t>South of Mackay Glacier (inland of granite habour), killer ridge NE corner</t>
  </si>
  <si>
    <t>R22549</t>
  </si>
  <si>
    <t>South of Mackay Glacier (inland of granite habour), sperm bluff, north flank</t>
  </si>
  <si>
    <t>R22550</t>
  </si>
  <si>
    <t>R22551</t>
  </si>
  <si>
    <t>South of Mackay Glacier (inland of granite habour), cotton glacier, north side</t>
  </si>
  <si>
    <t>R22555</t>
  </si>
  <si>
    <t>South of Mackay Glacier (inland of granite habour), miller glacier, west side</t>
  </si>
  <si>
    <t>R22556</t>
  </si>
  <si>
    <t>South of Mackay Glacier (inland of granite habour), mount suess</t>
  </si>
  <si>
    <t>R22557</t>
  </si>
  <si>
    <t>South of Mackay Glacier (inland of granite habour), clare range</t>
  </si>
  <si>
    <t>metamorphics</t>
  </si>
  <si>
    <t>Koettlitz group metamorphics</t>
  </si>
  <si>
    <t>Precambrian</t>
  </si>
  <si>
    <t>R22558</t>
  </si>
  <si>
    <t>South of Mackay Glacier (inland of granite habour), Nunatak south of redcliff Nunatak</t>
  </si>
  <si>
    <t>R22559</t>
  </si>
  <si>
    <t>R22560</t>
  </si>
  <si>
    <t>South of Mackay Glacier (inland of granite habour), West of Minnehaha icefalls</t>
  </si>
  <si>
    <t>R22561</t>
  </si>
  <si>
    <t>North of Mackay Glacier (granite habour), cape archer</t>
  </si>
  <si>
    <t>R22562</t>
  </si>
  <si>
    <t>North of Mackay Glacier (granite habour), long bluffs</t>
  </si>
  <si>
    <t>R22563</t>
  </si>
  <si>
    <t>North of Mackay Glacier (granite habour), lion island</t>
  </si>
  <si>
    <t>R22566</t>
  </si>
  <si>
    <t>North of Mackay Glacier (granite habour), Kar Plateau, NW corner</t>
  </si>
  <si>
    <t>approximate elevation</t>
  </si>
  <si>
    <t>R22567</t>
  </si>
  <si>
    <t>South of Mackay Glacier (granite habour area), cuff cape</t>
  </si>
  <si>
    <t>R22568</t>
  </si>
  <si>
    <t>R22569</t>
  </si>
  <si>
    <t>R22570</t>
  </si>
  <si>
    <t>South of Mackay Glacier (granite habour area), Devils Punchbowl</t>
  </si>
  <si>
    <t>R22571</t>
  </si>
  <si>
    <t>R22573</t>
  </si>
  <si>
    <t>Hansen Ridge, east end</t>
  </si>
  <si>
    <t>R22574</t>
  </si>
  <si>
    <t>Hansen Ridge, west end</t>
  </si>
  <si>
    <t>R22575</t>
  </si>
  <si>
    <t>Mount Doorly eastern spur</t>
  </si>
  <si>
    <t>R22576</t>
  </si>
  <si>
    <t>R22577</t>
  </si>
  <si>
    <t>R22578</t>
  </si>
  <si>
    <t>R22581</t>
  </si>
  <si>
    <t>R22582</t>
  </si>
  <si>
    <t>Peak 4.5km west of Mt Doorly</t>
  </si>
  <si>
    <t>R22583</t>
  </si>
  <si>
    <t>R22584</t>
  </si>
  <si>
    <t>R22585</t>
  </si>
  <si>
    <t>R22586</t>
  </si>
  <si>
    <t>Mount Termination 5.5km west of Mount Doorly</t>
  </si>
  <si>
    <t>Granite Habour Intrusives, gneissic margin of pluton</t>
  </si>
  <si>
    <t>gneiss</t>
  </si>
  <si>
    <t>R22587</t>
  </si>
  <si>
    <t>Mount Allen</t>
  </si>
  <si>
    <t>R22588</t>
  </si>
  <si>
    <t>Staeffler Ridge, west end</t>
  </si>
  <si>
    <t>R22590</t>
  </si>
  <si>
    <t>R22593</t>
  </si>
  <si>
    <t>R22596</t>
  </si>
  <si>
    <t xml:space="preserve">Pond Peak, Summit (Victoria Lower Glacier) </t>
  </si>
  <si>
    <t>R22597</t>
  </si>
  <si>
    <t>R22598</t>
  </si>
  <si>
    <t>R22604</t>
  </si>
  <si>
    <t>King pin</t>
  </si>
  <si>
    <t>R22605</t>
  </si>
  <si>
    <t>Mount Newall, near summit</t>
  </si>
  <si>
    <t>R22606</t>
  </si>
  <si>
    <t>R22607</t>
  </si>
  <si>
    <t>R22608</t>
  </si>
  <si>
    <t>R22609</t>
  </si>
  <si>
    <t>R22610</t>
  </si>
  <si>
    <t>R22611</t>
  </si>
  <si>
    <t>R22612</t>
  </si>
  <si>
    <t>R22613</t>
  </si>
  <si>
    <t>R22614</t>
  </si>
  <si>
    <t>R22672</t>
  </si>
  <si>
    <t>Hjorth Hill</t>
  </si>
  <si>
    <t>R22673</t>
  </si>
  <si>
    <t>Mount Coleman</t>
  </si>
  <si>
    <t>R22674</t>
  </si>
  <si>
    <t>Mount Falconer</t>
  </si>
  <si>
    <t>R22675</t>
  </si>
  <si>
    <t>R22676</t>
  </si>
  <si>
    <t>Robertson Range</t>
  </si>
  <si>
    <t>R22677</t>
  </si>
  <si>
    <t>Olympus Range</t>
  </si>
  <si>
    <t>Becon Supergroup</t>
  </si>
  <si>
    <t>Triassic</t>
  </si>
  <si>
    <t>R22716</t>
  </si>
  <si>
    <t>R22717</t>
  </si>
  <si>
    <t>North of Mackay Glacier (granite habour), mount marston, summit</t>
  </si>
  <si>
    <t>R29068</t>
  </si>
  <si>
    <t>Fitzgerald, P.G. &amp; Gleadow, A.J.W</t>
  </si>
  <si>
    <t>Mount Jason, Wright Valley area</t>
  </si>
  <si>
    <t>R29069</t>
  </si>
  <si>
    <t>Dolerite</t>
  </si>
  <si>
    <t>Ferrar Dolerite</t>
  </si>
  <si>
    <t>bas</t>
  </si>
  <si>
    <t>Jurassic</t>
  </si>
  <si>
    <t>R29070</t>
  </si>
  <si>
    <t>R29071</t>
  </si>
  <si>
    <t>R29072</t>
  </si>
  <si>
    <t>R29073</t>
  </si>
  <si>
    <t>R29074</t>
  </si>
  <si>
    <t>R29076</t>
  </si>
  <si>
    <t>R29077</t>
  </si>
  <si>
    <t>R29078</t>
  </si>
  <si>
    <t>R31701</t>
  </si>
  <si>
    <t>Freyberg Mountains</t>
  </si>
  <si>
    <t>unk</t>
  </si>
  <si>
    <t>R31702</t>
  </si>
  <si>
    <t>R31703</t>
  </si>
  <si>
    <t>R31704</t>
  </si>
  <si>
    <t>R31705</t>
  </si>
  <si>
    <t>R31706</t>
  </si>
  <si>
    <t>R31707</t>
  </si>
  <si>
    <t>R31708</t>
  </si>
  <si>
    <t>R31709</t>
  </si>
  <si>
    <t>Aviator Glacier</t>
  </si>
  <si>
    <t>R31710</t>
  </si>
  <si>
    <t>Copperstain Ridge, Lillie Glacier</t>
  </si>
  <si>
    <t>R31711</t>
  </si>
  <si>
    <t>Ebbe Glacier</t>
  </si>
  <si>
    <t>R31712</t>
  </si>
  <si>
    <t>Mt Craven, Ebbe Glacier</t>
  </si>
  <si>
    <t>R31713</t>
  </si>
  <si>
    <t>Mount Murchison</t>
  </si>
  <si>
    <t>R31714</t>
  </si>
  <si>
    <t>A</t>
  </si>
  <si>
    <t>B</t>
  </si>
  <si>
    <t>R31715</t>
  </si>
  <si>
    <t>R31716</t>
  </si>
  <si>
    <t>R31717</t>
  </si>
  <si>
    <t>R31718</t>
  </si>
  <si>
    <t>Mt Royalist</t>
  </si>
  <si>
    <t>R31719</t>
  </si>
  <si>
    <t>Mt Ajax</t>
  </si>
  <si>
    <t>R31720</t>
  </si>
  <si>
    <t>R31723</t>
  </si>
  <si>
    <t>Salamander Range</t>
  </si>
  <si>
    <t>R31724</t>
  </si>
  <si>
    <t>Section Peak, Lichen Hills</t>
  </si>
  <si>
    <t>R31725</t>
  </si>
  <si>
    <t>Mt Spatz, Outback Nunataks</t>
  </si>
  <si>
    <t>R31726</t>
  </si>
  <si>
    <t>Miller Butte, Outback Nunataks</t>
  </si>
  <si>
    <t>R31730</t>
  </si>
  <si>
    <t>Oread Spur</t>
  </si>
  <si>
    <t>R31731</t>
  </si>
  <si>
    <t>Mt Northampton</t>
  </si>
  <si>
    <t>R31732</t>
  </si>
  <si>
    <t>R31733</t>
  </si>
  <si>
    <t>Morozumi Range</t>
  </si>
  <si>
    <t>R32168</t>
  </si>
  <si>
    <t>Helliwell Hills</t>
  </si>
  <si>
    <t>Metasediment</t>
  </si>
  <si>
    <t>R32173</t>
  </si>
  <si>
    <t>R32204</t>
  </si>
  <si>
    <t>R22505</t>
  </si>
  <si>
    <t>Spike Cape, Wright Valley area</t>
  </si>
  <si>
    <t>feldspar-quartz-biotite gneiss</t>
  </si>
  <si>
    <t>R31735</t>
  </si>
  <si>
    <t>Mount Doorly, Wright Valley area</t>
  </si>
  <si>
    <t>R31736</t>
  </si>
  <si>
    <t>R31737</t>
  </si>
  <si>
    <t>R31738</t>
  </si>
  <si>
    <t>R31739</t>
  </si>
  <si>
    <t>R31740</t>
  </si>
  <si>
    <t>R31741</t>
  </si>
  <si>
    <t>R31742</t>
  </si>
  <si>
    <t>R31743</t>
  </si>
  <si>
    <t>R31744</t>
  </si>
  <si>
    <t>R31745</t>
  </si>
  <si>
    <t>R31746</t>
  </si>
  <si>
    <t>R31747</t>
  </si>
  <si>
    <t>R31748</t>
  </si>
  <si>
    <t>R31752</t>
  </si>
  <si>
    <t>Gneiss Point, Wright Valley area</t>
  </si>
  <si>
    <t>R31754</t>
  </si>
  <si>
    <t>Dpar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</si>
</sst>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15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5" fontId="0" fillId="3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1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5C8A-6E22-4B37-9675-B900F9E7E5B3}">
  <dimension ref="A1:AP328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W1" sqref="W1:AH1048576"/>
    </sheetView>
  </sheetViews>
  <sheetFormatPr defaultColWidth="9.1796875" defaultRowHeight="12.5" x14ac:dyDescent="0.25"/>
  <cols>
    <col min="1" max="1" width="17.36328125" style="1" customWidth="1"/>
    <col min="2" max="2" width="3.7265625" style="1" customWidth="1"/>
    <col min="3" max="3" width="14.7265625" style="1" customWidth="1"/>
    <col min="4" max="5" width="9.1796875" style="1"/>
    <col min="6" max="6" width="5.08984375" style="1" customWidth="1"/>
    <col min="7" max="7" width="22.453125" style="1" customWidth="1"/>
    <col min="8" max="21" width="0" style="1" hidden="1" customWidth="1"/>
    <col min="22" max="22" width="9.1796875" style="1"/>
    <col min="23" max="34" width="0" style="1" hidden="1" customWidth="1"/>
    <col min="35" max="36" width="9.1796875" style="1"/>
    <col min="37" max="37" width="9.1796875" style="2"/>
    <col min="38" max="38" width="9.1796875" style="1"/>
    <col min="39" max="39" width="9.1796875" style="3"/>
    <col min="40" max="40" width="9.1796875" style="1"/>
    <col min="41" max="41" width="9.1796875" style="3"/>
    <col min="42" max="262" width="9.1796875" style="1"/>
    <col min="263" max="263" width="22.453125" style="1" customWidth="1"/>
    <col min="264" max="518" width="9.1796875" style="1"/>
    <col min="519" max="519" width="22.453125" style="1" customWidth="1"/>
    <col min="520" max="774" width="9.1796875" style="1"/>
    <col min="775" max="775" width="22.453125" style="1" customWidth="1"/>
    <col min="776" max="1030" width="9.1796875" style="1"/>
    <col min="1031" max="1031" width="22.453125" style="1" customWidth="1"/>
    <col min="1032" max="1286" width="9.1796875" style="1"/>
    <col min="1287" max="1287" width="22.453125" style="1" customWidth="1"/>
    <col min="1288" max="1542" width="9.1796875" style="1"/>
    <col min="1543" max="1543" width="22.453125" style="1" customWidth="1"/>
    <col min="1544" max="1798" width="9.1796875" style="1"/>
    <col min="1799" max="1799" width="22.453125" style="1" customWidth="1"/>
    <col min="1800" max="2054" width="9.1796875" style="1"/>
    <col min="2055" max="2055" width="22.453125" style="1" customWidth="1"/>
    <col min="2056" max="2310" width="9.1796875" style="1"/>
    <col min="2311" max="2311" width="22.453125" style="1" customWidth="1"/>
    <col min="2312" max="2566" width="9.1796875" style="1"/>
    <col min="2567" max="2567" width="22.453125" style="1" customWidth="1"/>
    <col min="2568" max="2822" width="9.1796875" style="1"/>
    <col min="2823" max="2823" width="22.453125" style="1" customWidth="1"/>
    <col min="2824" max="3078" width="9.1796875" style="1"/>
    <col min="3079" max="3079" width="22.453125" style="1" customWidth="1"/>
    <col min="3080" max="3334" width="9.1796875" style="1"/>
    <col min="3335" max="3335" width="22.453125" style="1" customWidth="1"/>
    <col min="3336" max="3590" width="9.1796875" style="1"/>
    <col min="3591" max="3591" width="22.453125" style="1" customWidth="1"/>
    <col min="3592" max="3846" width="9.1796875" style="1"/>
    <col min="3847" max="3847" width="22.453125" style="1" customWidth="1"/>
    <col min="3848" max="4102" width="9.1796875" style="1"/>
    <col min="4103" max="4103" width="22.453125" style="1" customWidth="1"/>
    <col min="4104" max="4358" width="9.1796875" style="1"/>
    <col min="4359" max="4359" width="22.453125" style="1" customWidth="1"/>
    <col min="4360" max="4614" width="9.1796875" style="1"/>
    <col min="4615" max="4615" width="22.453125" style="1" customWidth="1"/>
    <col min="4616" max="4870" width="9.1796875" style="1"/>
    <col min="4871" max="4871" width="22.453125" style="1" customWidth="1"/>
    <col min="4872" max="5126" width="9.1796875" style="1"/>
    <col min="5127" max="5127" width="22.453125" style="1" customWidth="1"/>
    <col min="5128" max="5382" width="9.1796875" style="1"/>
    <col min="5383" max="5383" width="22.453125" style="1" customWidth="1"/>
    <col min="5384" max="5638" width="9.1796875" style="1"/>
    <col min="5639" max="5639" width="22.453125" style="1" customWidth="1"/>
    <col min="5640" max="5894" width="9.1796875" style="1"/>
    <col min="5895" max="5895" width="22.453125" style="1" customWidth="1"/>
    <col min="5896" max="6150" width="9.1796875" style="1"/>
    <col min="6151" max="6151" width="22.453125" style="1" customWidth="1"/>
    <col min="6152" max="6406" width="9.1796875" style="1"/>
    <col min="6407" max="6407" width="22.453125" style="1" customWidth="1"/>
    <col min="6408" max="6662" width="9.1796875" style="1"/>
    <col min="6663" max="6663" width="22.453125" style="1" customWidth="1"/>
    <col min="6664" max="6918" width="9.1796875" style="1"/>
    <col min="6919" max="6919" width="22.453125" style="1" customWidth="1"/>
    <col min="6920" max="7174" width="9.1796875" style="1"/>
    <col min="7175" max="7175" width="22.453125" style="1" customWidth="1"/>
    <col min="7176" max="7430" width="9.1796875" style="1"/>
    <col min="7431" max="7431" width="22.453125" style="1" customWidth="1"/>
    <col min="7432" max="7686" width="9.1796875" style="1"/>
    <col min="7687" max="7687" width="22.453125" style="1" customWidth="1"/>
    <col min="7688" max="7942" width="9.1796875" style="1"/>
    <col min="7943" max="7943" width="22.453125" style="1" customWidth="1"/>
    <col min="7944" max="8198" width="9.1796875" style="1"/>
    <col min="8199" max="8199" width="22.453125" style="1" customWidth="1"/>
    <col min="8200" max="8454" width="9.1796875" style="1"/>
    <col min="8455" max="8455" width="22.453125" style="1" customWidth="1"/>
    <col min="8456" max="8710" width="9.1796875" style="1"/>
    <col min="8711" max="8711" width="22.453125" style="1" customWidth="1"/>
    <col min="8712" max="8966" width="9.1796875" style="1"/>
    <col min="8967" max="8967" width="22.453125" style="1" customWidth="1"/>
    <col min="8968" max="9222" width="9.1796875" style="1"/>
    <col min="9223" max="9223" width="22.453125" style="1" customWidth="1"/>
    <col min="9224" max="9478" width="9.1796875" style="1"/>
    <col min="9479" max="9479" width="22.453125" style="1" customWidth="1"/>
    <col min="9480" max="9734" width="9.1796875" style="1"/>
    <col min="9735" max="9735" width="22.453125" style="1" customWidth="1"/>
    <col min="9736" max="9990" width="9.1796875" style="1"/>
    <col min="9991" max="9991" width="22.453125" style="1" customWidth="1"/>
    <col min="9992" max="10246" width="9.1796875" style="1"/>
    <col min="10247" max="10247" width="22.453125" style="1" customWidth="1"/>
    <col min="10248" max="10502" width="9.1796875" style="1"/>
    <col min="10503" max="10503" width="22.453125" style="1" customWidth="1"/>
    <col min="10504" max="10758" width="9.1796875" style="1"/>
    <col min="10759" max="10759" width="22.453125" style="1" customWidth="1"/>
    <col min="10760" max="11014" width="9.1796875" style="1"/>
    <col min="11015" max="11015" width="22.453125" style="1" customWidth="1"/>
    <col min="11016" max="11270" width="9.1796875" style="1"/>
    <col min="11271" max="11271" width="22.453125" style="1" customWidth="1"/>
    <col min="11272" max="11526" width="9.1796875" style="1"/>
    <col min="11527" max="11527" width="22.453125" style="1" customWidth="1"/>
    <col min="11528" max="11782" width="9.1796875" style="1"/>
    <col min="11783" max="11783" width="22.453125" style="1" customWidth="1"/>
    <col min="11784" max="12038" width="9.1796875" style="1"/>
    <col min="12039" max="12039" width="22.453125" style="1" customWidth="1"/>
    <col min="12040" max="12294" width="9.1796875" style="1"/>
    <col min="12295" max="12295" width="22.453125" style="1" customWidth="1"/>
    <col min="12296" max="12550" width="9.1796875" style="1"/>
    <col min="12551" max="12551" width="22.453125" style="1" customWidth="1"/>
    <col min="12552" max="12806" width="9.1796875" style="1"/>
    <col min="12807" max="12807" width="22.453125" style="1" customWidth="1"/>
    <col min="12808" max="13062" width="9.1796875" style="1"/>
    <col min="13063" max="13063" width="22.453125" style="1" customWidth="1"/>
    <col min="13064" max="13318" width="9.1796875" style="1"/>
    <col min="13319" max="13319" width="22.453125" style="1" customWidth="1"/>
    <col min="13320" max="13574" width="9.1796875" style="1"/>
    <col min="13575" max="13575" width="22.453125" style="1" customWidth="1"/>
    <col min="13576" max="13830" width="9.1796875" style="1"/>
    <col min="13831" max="13831" width="22.453125" style="1" customWidth="1"/>
    <col min="13832" max="14086" width="9.1796875" style="1"/>
    <col min="14087" max="14087" width="22.453125" style="1" customWidth="1"/>
    <col min="14088" max="14342" width="9.1796875" style="1"/>
    <col min="14343" max="14343" width="22.453125" style="1" customWidth="1"/>
    <col min="14344" max="14598" width="9.1796875" style="1"/>
    <col min="14599" max="14599" width="22.453125" style="1" customWidth="1"/>
    <col min="14600" max="14854" width="9.1796875" style="1"/>
    <col min="14855" max="14855" width="22.453125" style="1" customWidth="1"/>
    <col min="14856" max="15110" width="9.1796875" style="1"/>
    <col min="15111" max="15111" width="22.453125" style="1" customWidth="1"/>
    <col min="15112" max="15366" width="9.1796875" style="1"/>
    <col min="15367" max="15367" width="22.453125" style="1" customWidth="1"/>
    <col min="15368" max="15622" width="9.1796875" style="1"/>
    <col min="15623" max="15623" width="22.453125" style="1" customWidth="1"/>
    <col min="15624" max="15878" width="9.1796875" style="1"/>
    <col min="15879" max="15879" width="22.453125" style="1" customWidth="1"/>
    <col min="15880" max="16134" width="9.1796875" style="1"/>
    <col min="16135" max="16135" width="22.453125" style="1" customWidth="1"/>
    <col min="16136" max="16384" width="9.1796875" style="1"/>
  </cols>
  <sheetData>
    <row r="1" spans="1:42" s="15" customFormat="1" x14ac:dyDescent="0.25">
      <c r="A1" s="15">
        <v>1</v>
      </c>
      <c r="B1" s="15">
        <f>A1+1</f>
        <v>2</v>
      </c>
      <c r="C1" s="15">
        <f t="shared" ref="C1:AO1" si="0">B1+1</f>
        <v>3</v>
      </c>
      <c r="D1" s="15">
        <f t="shared" si="0"/>
        <v>4</v>
      </c>
      <c r="E1" s="15">
        <f t="shared" si="0"/>
        <v>5</v>
      </c>
      <c r="F1" s="15">
        <f t="shared" si="0"/>
        <v>6</v>
      </c>
      <c r="G1" s="15">
        <f t="shared" si="0"/>
        <v>7</v>
      </c>
      <c r="H1" s="15">
        <f t="shared" si="0"/>
        <v>8</v>
      </c>
      <c r="I1" s="15">
        <f t="shared" si="0"/>
        <v>9</v>
      </c>
      <c r="J1" s="15">
        <f t="shared" si="0"/>
        <v>10</v>
      </c>
      <c r="K1" s="15">
        <f t="shared" si="0"/>
        <v>11</v>
      </c>
      <c r="L1" s="15">
        <f t="shared" si="0"/>
        <v>12</v>
      </c>
      <c r="M1" s="15">
        <f t="shared" si="0"/>
        <v>13</v>
      </c>
      <c r="N1" s="15">
        <f t="shared" si="0"/>
        <v>14</v>
      </c>
      <c r="O1" s="15">
        <f t="shared" si="0"/>
        <v>15</v>
      </c>
      <c r="P1" s="15">
        <f t="shared" si="0"/>
        <v>16</v>
      </c>
      <c r="Q1" s="15">
        <f t="shared" si="0"/>
        <v>17</v>
      </c>
      <c r="R1" s="15">
        <f t="shared" si="0"/>
        <v>18</v>
      </c>
      <c r="S1" s="15">
        <f t="shared" si="0"/>
        <v>19</v>
      </c>
      <c r="T1" s="15">
        <f t="shared" si="0"/>
        <v>20</v>
      </c>
      <c r="U1" s="15">
        <f t="shared" si="0"/>
        <v>21</v>
      </c>
      <c r="V1" s="15">
        <f t="shared" si="0"/>
        <v>22</v>
      </c>
      <c r="W1" s="15">
        <f t="shared" si="0"/>
        <v>23</v>
      </c>
      <c r="X1" s="15">
        <f t="shared" si="0"/>
        <v>24</v>
      </c>
      <c r="Y1" s="15">
        <f t="shared" si="0"/>
        <v>25</v>
      </c>
      <c r="Z1" s="15">
        <f t="shared" si="0"/>
        <v>26</v>
      </c>
      <c r="AA1" s="15">
        <f t="shared" si="0"/>
        <v>27</v>
      </c>
      <c r="AB1" s="15">
        <f t="shared" si="0"/>
        <v>28</v>
      </c>
      <c r="AC1" s="15">
        <f t="shared" si="0"/>
        <v>29</v>
      </c>
      <c r="AD1" s="15">
        <f t="shared" si="0"/>
        <v>30</v>
      </c>
      <c r="AE1" s="15">
        <f t="shared" si="0"/>
        <v>31</v>
      </c>
      <c r="AF1" s="15">
        <f t="shared" si="0"/>
        <v>32</v>
      </c>
      <c r="AG1" s="15">
        <f t="shared" si="0"/>
        <v>33</v>
      </c>
      <c r="AH1" s="15">
        <f t="shared" si="0"/>
        <v>34</v>
      </c>
      <c r="AI1" s="15">
        <f t="shared" si="0"/>
        <v>35</v>
      </c>
      <c r="AJ1" s="15">
        <f t="shared" si="0"/>
        <v>36</v>
      </c>
      <c r="AK1" s="15">
        <f t="shared" si="0"/>
        <v>37</v>
      </c>
      <c r="AL1" s="15">
        <f t="shared" si="0"/>
        <v>38</v>
      </c>
      <c r="AM1" s="15">
        <f t="shared" si="0"/>
        <v>39</v>
      </c>
      <c r="AN1" s="15">
        <f>AM1+1</f>
        <v>40</v>
      </c>
      <c r="AO1" s="15">
        <f t="shared" si="0"/>
        <v>41</v>
      </c>
      <c r="AP1" s="15">
        <v>42</v>
      </c>
    </row>
    <row r="2" spans="1:4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4" t="s">
        <v>35</v>
      </c>
      <c r="AK2" s="2" t="s">
        <v>36</v>
      </c>
      <c r="AL2" s="1" t="s">
        <v>37</v>
      </c>
      <c r="AM2" s="5" t="s">
        <v>38</v>
      </c>
      <c r="AN2" s="4" t="s">
        <v>39</v>
      </c>
      <c r="AO2" s="3" t="s">
        <v>40</v>
      </c>
      <c r="AP2" s="1" t="s">
        <v>474</v>
      </c>
    </row>
    <row r="3" spans="1:42" s="6" customFormat="1" x14ac:dyDescent="0.25">
      <c r="A3" s="6" t="s">
        <v>41</v>
      </c>
      <c r="C3" s="6" t="s">
        <v>42</v>
      </c>
      <c r="D3" s="6">
        <v>169.00024651256101</v>
      </c>
      <c r="E3" s="6">
        <v>-71.627013131343404</v>
      </c>
      <c r="F3" s="6">
        <v>10</v>
      </c>
      <c r="G3" s="6" t="s">
        <v>43</v>
      </c>
      <c r="H3" s="6">
        <v>2162</v>
      </c>
      <c r="I3" s="6" t="s">
        <v>44</v>
      </c>
      <c r="J3" s="6" t="s">
        <v>45</v>
      </c>
      <c r="L3" s="6" t="s">
        <v>46</v>
      </c>
      <c r="M3" s="6" t="s">
        <v>47</v>
      </c>
      <c r="N3" s="6" t="s">
        <v>48</v>
      </c>
      <c r="O3" s="6" t="s">
        <v>49</v>
      </c>
      <c r="P3" s="6" t="s">
        <v>50</v>
      </c>
      <c r="Q3" s="6" t="s">
        <v>51</v>
      </c>
      <c r="S3" s="6">
        <v>54119</v>
      </c>
      <c r="T3" s="6" t="s">
        <v>52</v>
      </c>
      <c r="V3" s="6" t="s">
        <v>53</v>
      </c>
      <c r="W3" s="6" t="s">
        <v>54</v>
      </c>
      <c r="X3" s="6" t="s">
        <v>55</v>
      </c>
      <c r="Y3" s="6" t="s">
        <v>56</v>
      </c>
      <c r="Z3" s="6" t="s">
        <v>57</v>
      </c>
      <c r="AA3" s="7">
        <v>39772</v>
      </c>
      <c r="AC3" s="6">
        <v>200</v>
      </c>
      <c r="AI3" s="6">
        <v>13.46</v>
      </c>
      <c r="AJ3" s="6">
        <v>0.21</v>
      </c>
      <c r="AK3" s="8">
        <v>2.9</v>
      </c>
      <c r="AL3" s="6">
        <v>48</v>
      </c>
      <c r="AM3" s="9">
        <v>64.099999999999994</v>
      </c>
      <c r="AN3" s="6">
        <v>11.8</v>
      </c>
      <c r="AO3" s="9">
        <v>5.9</v>
      </c>
      <c r="AP3" s="6">
        <v>1.36</v>
      </c>
    </row>
    <row r="4" spans="1:42" s="6" customFormat="1" x14ac:dyDescent="0.25">
      <c r="A4" s="6" t="s">
        <v>58</v>
      </c>
      <c r="C4" s="6" t="s">
        <v>42</v>
      </c>
      <c r="D4" s="6">
        <v>169.03714442730299</v>
      </c>
      <c r="E4" s="6">
        <v>-71.596614643328195</v>
      </c>
      <c r="F4" s="6">
        <v>10</v>
      </c>
      <c r="G4" s="6" t="s">
        <v>43</v>
      </c>
      <c r="H4" s="6">
        <v>1602</v>
      </c>
      <c r="I4" s="6" t="s">
        <v>44</v>
      </c>
      <c r="J4" s="6" t="s">
        <v>45</v>
      </c>
      <c r="L4" s="6" t="s">
        <v>46</v>
      </c>
      <c r="M4" s="6" t="s">
        <v>47</v>
      </c>
      <c r="N4" s="6" t="s">
        <v>48</v>
      </c>
      <c r="O4" s="6" t="s">
        <v>49</v>
      </c>
      <c r="P4" s="6" t="s">
        <v>50</v>
      </c>
      <c r="Q4" s="6" t="s">
        <v>59</v>
      </c>
      <c r="S4" s="6">
        <v>54120</v>
      </c>
      <c r="T4" s="6" t="s">
        <v>52</v>
      </c>
      <c r="V4" s="6" t="s">
        <v>53</v>
      </c>
      <c r="W4" s="6" t="s">
        <v>54</v>
      </c>
      <c r="X4" s="6" t="s">
        <v>55</v>
      </c>
      <c r="Y4" s="6" t="s">
        <v>56</v>
      </c>
      <c r="Z4" s="6" t="s">
        <v>60</v>
      </c>
      <c r="AA4" s="7">
        <v>39772</v>
      </c>
      <c r="AC4" s="6">
        <v>410</v>
      </c>
      <c r="AI4" s="6">
        <v>13.43</v>
      </c>
      <c r="AJ4" s="6">
        <v>0.28000000000000003</v>
      </c>
      <c r="AK4" s="8">
        <v>4.3</v>
      </c>
      <c r="AL4" s="6">
        <v>59</v>
      </c>
      <c r="AM4" s="9">
        <v>39</v>
      </c>
      <c r="AN4" s="6">
        <v>5.2</v>
      </c>
      <c r="AO4" s="9">
        <v>2.6</v>
      </c>
      <c r="AP4" s="6">
        <v>1.45</v>
      </c>
    </row>
    <row r="5" spans="1:42" s="6" customFormat="1" x14ac:dyDescent="0.25">
      <c r="A5" s="6" t="s">
        <v>61</v>
      </c>
      <c r="C5" s="6" t="s">
        <v>42</v>
      </c>
      <c r="D5" s="6">
        <v>168.804937204087</v>
      </c>
      <c r="E5" s="6">
        <v>-71.774415849087305</v>
      </c>
      <c r="F5" s="6">
        <v>10</v>
      </c>
      <c r="G5" s="6" t="s">
        <v>62</v>
      </c>
      <c r="H5" s="6">
        <v>3322</v>
      </c>
      <c r="I5" s="6" t="s">
        <v>44</v>
      </c>
      <c r="J5" s="6" t="s">
        <v>63</v>
      </c>
      <c r="L5" s="6" t="s">
        <v>46</v>
      </c>
      <c r="M5" s="6" t="s">
        <v>47</v>
      </c>
      <c r="N5" s="6" t="s">
        <v>48</v>
      </c>
      <c r="O5" s="6" t="s">
        <v>49</v>
      </c>
      <c r="P5" s="6" t="s">
        <v>50</v>
      </c>
      <c r="S5" s="6">
        <v>54121</v>
      </c>
      <c r="T5" s="6" t="s">
        <v>52</v>
      </c>
      <c r="V5" s="6" t="s">
        <v>53</v>
      </c>
      <c r="W5" s="6" t="s">
        <v>54</v>
      </c>
      <c r="X5" s="6" t="s">
        <v>55</v>
      </c>
      <c r="Y5" s="6" t="s">
        <v>56</v>
      </c>
      <c r="Z5" s="6" t="s">
        <v>64</v>
      </c>
      <c r="AA5" s="7">
        <v>39772</v>
      </c>
      <c r="AC5" s="6">
        <v>1247</v>
      </c>
      <c r="AI5" s="6">
        <v>13.33</v>
      </c>
      <c r="AJ5" s="6">
        <v>0.14000000000000001</v>
      </c>
      <c r="AK5" s="8">
        <v>3.48</v>
      </c>
      <c r="AL5" s="6">
        <v>155</v>
      </c>
      <c r="AM5" s="9">
        <v>76.599999999999994</v>
      </c>
      <c r="AN5" s="6">
        <v>7.4</v>
      </c>
      <c r="AO5" s="9">
        <v>3.7</v>
      </c>
      <c r="AP5" s="6">
        <v>1.41</v>
      </c>
    </row>
    <row r="6" spans="1:42" s="6" customFormat="1" x14ac:dyDescent="0.25">
      <c r="A6" s="6" t="s">
        <v>65</v>
      </c>
      <c r="C6" s="6" t="s">
        <v>42</v>
      </c>
      <c r="D6" s="6">
        <v>168.98270159399101</v>
      </c>
      <c r="E6" s="6">
        <v>-71.764835780646294</v>
      </c>
      <c r="F6" s="6">
        <v>10</v>
      </c>
      <c r="G6" s="6" t="s">
        <v>62</v>
      </c>
      <c r="H6" s="6">
        <v>1988</v>
      </c>
      <c r="I6" s="6" t="s">
        <v>44</v>
      </c>
      <c r="J6" s="6" t="s">
        <v>45</v>
      </c>
      <c r="L6" s="6" t="s">
        <v>46</v>
      </c>
      <c r="M6" s="6" t="s">
        <v>47</v>
      </c>
      <c r="N6" s="6" t="s">
        <v>48</v>
      </c>
      <c r="O6" s="6" t="s">
        <v>49</v>
      </c>
      <c r="P6" s="6" t="s">
        <v>50</v>
      </c>
      <c r="Q6" s="6" t="s">
        <v>66</v>
      </c>
      <c r="S6" s="6">
        <v>54122</v>
      </c>
      <c r="T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67</v>
      </c>
      <c r="AA6" s="7">
        <v>39772</v>
      </c>
      <c r="AC6" s="6">
        <v>1263</v>
      </c>
      <c r="AI6" s="6">
        <v>14.22</v>
      </c>
      <c r="AJ6" s="6">
        <v>0.14000000000000001</v>
      </c>
      <c r="AK6" s="8">
        <v>3.42</v>
      </c>
      <c r="AL6" s="6">
        <v>151</v>
      </c>
      <c r="AM6" s="9">
        <v>49.3</v>
      </c>
      <c r="AN6" s="6">
        <v>4.5999999999999996</v>
      </c>
      <c r="AO6" s="9">
        <v>2.2999999999999998</v>
      </c>
      <c r="AP6" s="6">
        <v>1.35</v>
      </c>
    </row>
    <row r="7" spans="1:42" s="6" customFormat="1" x14ac:dyDescent="0.25">
      <c r="A7" s="6" t="s">
        <v>68</v>
      </c>
      <c r="C7" s="6" t="s">
        <v>42</v>
      </c>
      <c r="D7" s="6">
        <v>169.64821024295199</v>
      </c>
      <c r="E7" s="6">
        <v>-71.718116151123198</v>
      </c>
      <c r="F7" s="6">
        <v>10</v>
      </c>
      <c r="G7" s="6" t="s">
        <v>69</v>
      </c>
      <c r="H7" s="6">
        <v>2003</v>
      </c>
      <c r="I7" s="6" t="s">
        <v>44</v>
      </c>
      <c r="J7" s="6" t="s">
        <v>45</v>
      </c>
      <c r="L7" s="6" t="s">
        <v>46</v>
      </c>
      <c r="M7" s="6" t="s">
        <v>47</v>
      </c>
      <c r="N7" s="6" t="s">
        <v>48</v>
      </c>
      <c r="O7" s="6" t="s">
        <v>49</v>
      </c>
      <c r="P7" s="6" t="s">
        <v>50</v>
      </c>
      <c r="Q7" s="6" t="s">
        <v>70</v>
      </c>
      <c r="S7" s="6">
        <v>54123</v>
      </c>
      <c r="T7" s="6" t="s">
        <v>52</v>
      </c>
      <c r="V7" s="6" t="s">
        <v>53</v>
      </c>
      <c r="W7" s="6" t="s">
        <v>54</v>
      </c>
      <c r="X7" s="6" t="s">
        <v>55</v>
      </c>
      <c r="Y7" s="6" t="s">
        <v>56</v>
      </c>
      <c r="Z7" s="6" t="s">
        <v>71</v>
      </c>
      <c r="AA7" s="7">
        <v>39772</v>
      </c>
      <c r="AC7" s="6">
        <v>986</v>
      </c>
      <c r="AI7" s="6">
        <v>13.79</v>
      </c>
      <c r="AJ7" s="6">
        <v>0.16</v>
      </c>
      <c r="AK7" s="8">
        <v>3.82</v>
      </c>
      <c r="AL7" s="6">
        <v>152</v>
      </c>
      <c r="AM7" s="9">
        <v>44.6</v>
      </c>
      <c r="AN7" s="6">
        <v>4.5999999999999996</v>
      </c>
      <c r="AO7" s="9">
        <v>2.2999999999999998</v>
      </c>
      <c r="AP7" s="6">
        <v>1.34</v>
      </c>
    </row>
    <row r="8" spans="1:42" s="6" customFormat="1" x14ac:dyDescent="0.25">
      <c r="A8" s="6" t="s">
        <v>72</v>
      </c>
      <c r="C8" s="6" t="s">
        <v>42</v>
      </c>
      <c r="D8" s="6">
        <v>169.43461861017701</v>
      </c>
      <c r="E8" s="6">
        <v>-71.779653521374598</v>
      </c>
      <c r="F8" s="6">
        <v>10</v>
      </c>
      <c r="G8" s="6" t="s">
        <v>69</v>
      </c>
      <c r="H8" s="6">
        <v>2208</v>
      </c>
      <c r="I8" s="6" t="s">
        <v>44</v>
      </c>
      <c r="J8" s="6" t="s">
        <v>45</v>
      </c>
      <c r="L8" s="6" t="s">
        <v>46</v>
      </c>
      <c r="M8" s="6" t="s">
        <v>47</v>
      </c>
      <c r="N8" s="6" t="s">
        <v>48</v>
      </c>
      <c r="O8" s="6" t="s">
        <v>49</v>
      </c>
      <c r="P8" s="6" t="s">
        <v>50</v>
      </c>
      <c r="Q8" s="6" t="s">
        <v>73</v>
      </c>
      <c r="S8" s="6">
        <v>54124</v>
      </c>
      <c r="T8" s="6" t="s">
        <v>52</v>
      </c>
      <c r="V8" s="6" t="s">
        <v>53</v>
      </c>
      <c r="W8" s="6" t="s">
        <v>54</v>
      </c>
      <c r="X8" s="6" t="s">
        <v>55</v>
      </c>
      <c r="Y8" s="6" t="s">
        <v>56</v>
      </c>
      <c r="Z8" s="6" t="s">
        <v>74</v>
      </c>
      <c r="AA8" s="7">
        <v>39772</v>
      </c>
      <c r="AC8" s="6">
        <v>19</v>
      </c>
      <c r="AI8" s="6">
        <v>13.25</v>
      </c>
      <c r="AJ8" s="6">
        <v>1.18</v>
      </c>
      <c r="AK8" s="8">
        <v>4.08</v>
      </c>
      <c r="AL8" s="6">
        <v>4</v>
      </c>
      <c r="AM8" s="9">
        <v>59.4</v>
      </c>
      <c r="AN8" s="6">
        <v>28.6</v>
      </c>
      <c r="AO8" s="9">
        <v>14.3</v>
      </c>
      <c r="AP8" s="6">
        <v>1.43</v>
      </c>
    </row>
    <row r="9" spans="1:42" s="6" customFormat="1" x14ac:dyDescent="0.25">
      <c r="A9" s="6" t="s">
        <v>75</v>
      </c>
      <c r="C9" s="6" t="s">
        <v>42</v>
      </c>
      <c r="D9" s="6">
        <v>169.20460825728</v>
      </c>
      <c r="E9" s="6">
        <v>-71.863449751192306</v>
      </c>
      <c r="F9" s="6">
        <v>10</v>
      </c>
      <c r="G9" s="6" t="s">
        <v>76</v>
      </c>
      <c r="H9" s="6">
        <v>2684</v>
      </c>
      <c r="I9" s="6" t="s">
        <v>44</v>
      </c>
      <c r="J9" s="6" t="s">
        <v>45</v>
      </c>
      <c r="L9" s="6" t="s">
        <v>46</v>
      </c>
      <c r="M9" s="6" t="s">
        <v>47</v>
      </c>
      <c r="N9" s="6" t="s">
        <v>48</v>
      </c>
      <c r="O9" s="6" t="s">
        <v>49</v>
      </c>
      <c r="P9" s="6" t="s">
        <v>50</v>
      </c>
      <c r="S9" s="6">
        <v>54125</v>
      </c>
      <c r="T9" s="6" t="s">
        <v>52</v>
      </c>
      <c r="V9" s="6" t="s">
        <v>53</v>
      </c>
      <c r="W9" s="6" t="s">
        <v>54</v>
      </c>
      <c r="X9" s="6" t="s">
        <v>55</v>
      </c>
      <c r="Y9" s="6" t="s">
        <v>56</v>
      </c>
      <c r="Z9" s="6" t="s">
        <v>77</v>
      </c>
      <c r="AA9" s="7">
        <v>39772</v>
      </c>
      <c r="AC9" s="6">
        <v>165</v>
      </c>
      <c r="AI9" s="6">
        <v>13.53</v>
      </c>
      <c r="AJ9" s="6">
        <v>0.39</v>
      </c>
      <c r="AK9" s="8">
        <v>3.56</v>
      </c>
      <c r="AL9" s="6">
        <v>22</v>
      </c>
      <c r="AM9" s="9">
        <v>48.6</v>
      </c>
      <c r="AN9" s="6">
        <v>8.8000000000000007</v>
      </c>
      <c r="AO9" s="9">
        <v>4.4000000000000004</v>
      </c>
      <c r="AP9" s="6">
        <v>1.28</v>
      </c>
    </row>
    <row r="10" spans="1:42" s="6" customFormat="1" x14ac:dyDescent="0.25">
      <c r="A10" s="6" t="s">
        <v>78</v>
      </c>
      <c r="C10" s="6" t="s">
        <v>42</v>
      </c>
      <c r="D10" s="6">
        <v>169.17190822056801</v>
      </c>
      <c r="E10" s="6">
        <v>-71.832981497563793</v>
      </c>
      <c r="F10" s="6">
        <v>10</v>
      </c>
      <c r="G10" s="6" t="s">
        <v>79</v>
      </c>
      <c r="H10" s="6">
        <v>2171</v>
      </c>
      <c r="I10" s="6" t="s">
        <v>44</v>
      </c>
      <c r="J10" s="6" t="s">
        <v>45</v>
      </c>
      <c r="L10" s="6" t="s">
        <v>46</v>
      </c>
      <c r="M10" s="6" t="s">
        <v>47</v>
      </c>
      <c r="N10" s="6" t="s">
        <v>48</v>
      </c>
      <c r="O10" s="6" t="s">
        <v>49</v>
      </c>
      <c r="P10" s="6" t="s">
        <v>50</v>
      </c>
      <c r="Q10" s="6" t="s">
        <v>80</v>
      </c>
      <c r="S10" s="6">
        <v>54126</v>
      </c>
      <c r="T10" s="6" t="s">
        <v>52</v>
      </c>
      <c r="V10" s="6" t="s">
        <v>53</v>
      </c>
      <c r="W10" s="6" t="s">
        <v>54</v>
      </c>
      <c r="X10" s="6" t="s">
        <v>55</v>
      </c>
      <c r="Y10" s="6" t="s">
        <v>56</v>
      </c>
      <c r="Z10" s="6" t="s">
        <v>81</v>
      </c>
      <c r="AA10" s="7">
        <v>39772</v>
      </c>
      <c r="AC10" s="6">
        <v>397</v>
      </c>
      <c r="AI10" s="6">
        <v>13.93</v>
      </c>
      <c r="AJ10" s="6">
        <v>0.26</v>
      </c>
      <c r="AK10" s="8">
        <v>3.98</v>
      </c>
      <c r="AL10" s="6">
        <v>58</v>
      </c>
      <c r="AM10" s="9">
        <v>45.1</v>
      </c>
      <c r="AN10" s="6">
        <v>5.8</v>
      </c>
      <c r="AO10" s="9">
        <v>2.9</v>
      </c>
      <c r="AP10" s="6">
        <v>1.3</v>
      </c>
    </row>
    <row r="11" spans="1:42" s="6" customFormat="1" x14ac:dyDescent="0.25">
      <c r="A11" s="6" t="s">
        <v>82</v>
      </c>
      <c r="C11" s="6" t="s">
        <v>42</v>
      </c>
      <c r="D11" s="6">
        <v>169.81207836598699</v>
      </c>
      <c r="E11" s="6">
        <v>-71.812030582069397</v>
      </c>
      <c r="F11" s="6">
        <v>10</v>
      </c>
      <c r="G11" s="6" t="s">
        <v>83</v>
      </c>
      <c r="H11" s="6">
        <v>1975</v>
      </c>
      <c r="I11" s="6" t="s">
        <v>44</v>
      </c>
      <c r="J11" s="6" t="s">
        <v>45</v>
      </c>
      <c r="L11" s="6" t="s">
        <v>46</v>
      </c>
      <c r="M11" s="6" t="s">
        <v>47</v>
      </c>
      <c r="N11" s="6" t="s">
        <v>48</v>
      </c>
      <c r="O11" s="6" t="s">
        <v>49</v>
      </c>
      <c r="P11" s="6" t="s">
        <v>50</v>
      </c>
      <c r="Q11" s="6" t="s">
        <v>84</v>
      </c>
      <c r="S11" s="6">
        <v>54127</v>
      </c>
      <c r="T11" s="6" t="s">
        <v>52</v>
      </c>
      <c r="V11" s="6" t="s">
        <v>53</v>
      </c>
      <c r="W11" s="6" t="s">
        <v>54</v>
      </c>
      <c r="X11" s="6" t="s">
        <v>55</v>
      </c>
      <c r="Y11" s="6" t="s">
        <v>56</v>
      </c>
      <c r="Z11" s="6" t="s">
        <v>85</v>
      </c>
      <c r="AA11" s="7">
        <v>39772</v>
      </c>
      <c r="AC11" s="6">
        <v>703</v>
      </c>
      <c r="AI11" s="6">
        <v>14.2</v>
      </c>
      <c r="AJ11" s="6">
        <v>0.14000000000000001</v>
      </c>
      <c r="AK11" s="8">
        <v>3.02</v>
      </c>
      <c r="AL11" s="6">
        <v>121</v>
      </c>
      <c r="AM11" s="9">
        <v>31.5</v>
      </c>
      <c r="AN11" s="6">
        <v>3.6</v>
      </c>
      <c r="AO11" s="9">
        <v>1.8</v>
      </c>
      <c r="AP11" s="6">
        <v>1.32</v>
      </c>
    </row>
    <row r="12" spans="1:42" s="6" customFormat="1" x14ac:dyDescent="0.25">
      <c r="A12" s="6" t="s">
        <v>86</v>
      </c>
      <c r="C12" s="6" t="s">
        <v>42</v>
      </c>
      <c r="D12" s="6">
        <v>169.719591345282</v>
      </c>
      <c r="E12" s="6">
        <v>-71.818430528851906</v>
      </c>
      <c r="F12" s="6">
        <v>10</v>
      </c>
      <c r="G12" s="6" t="s">
        <v>87</v>
      </c>
      <c r="H12" s="6">
        <v>1656</v>
      </c>
      <c r="I12" s="6" t="s">
        <v>44</v>
      </c>
      <c r="J12" s="6" t="s">
        <v>45</v>
      </c>
      <c r="L12" s="6" t="s">
        <v>46</v>
      </c>
      <c r="M12" s="6" t="s">
        <v>47</v>
      </c>
      <c r="N12" s="6" t="s">
        <v>48</v>
      </c>
      <c r="O12" s="6" t="s">
        <v>49</v>
      </c>
      <c r="P12" s="6" t="s">
        <v>50</v>
      </c>
      <c r="Q12" s="6" t="s">
        <v>88</v>
      </c>
      <c r="S12" s="6">
        <v>54128</v>
      </c>
      <c r="T12" s="6" t="s">
        <v>52</v>
      </c>
      <c r="V12" s="6" t="s">
        <v>53</v>
      </c>
      <c r="W12" s="6" t="s">
        <v>54</v>
      </c>
      <c r="X12" s="6" t="s">
        <v>55</v>
      </c>
      <c r="Y12" s="6" t="s">
        <v>56</v>
      </c>
      <c r="Z12" s="6" t="s">
        <v>89</v>
      </c>
      <c r="AA12" s="7">
        <v>39772</v>
      </c>
      <c r="AC12" s="6">
        <v>640</v>
      </c>
      <c r="AI12" s="6">
        <v>14.16</v>
      </c>
      <c r="AJ12" s="6">
        <v>0.2</v>
      </c>
      <c r="AK12" s="8">
        <v>3.2</v>
      </c>
      <c r="AL12" s="6">
        <v>64</v>
      </c>
      <c r="AM12" s="9">
        <v>33.700000000000003</v>
      </c>
      <c r="AN12" s="6">
        <v>3.6</v>
      </c>
      <c r="AO12" s="9">
        <v>1.8</v>
      </c>
      <c r="AP12" s="6">
        <v>1.36</v>
      </c>
    </row>
    <row r="13" spans="1:42" s="10" customFormat="1" x14ac:dyDescent="0.25">
      <c r="A13" s="10" t="s">
        <v>90</v>
      </c>
      <c r="C13" s="10" t="s">
        <v>42</v>
      </c>
      <c r="D13" s="10">
        <v>170.10136466476601</v>
      </c>
      <c r="E13" s="10">
        <v>-71.652508258306597</v>
      </c>
      <c r="F13" s="10">
        <v>10</v>
      </c>
      <c r="G13" s="10" t="s">
        <v>91</v>
      </c>
      <c r="H13" s="10">
        <v>264</v>
      </c>
      <c r="I13" s="10" t="s">
        <v>44</v>
      </c>
      <c r="J13" s="10" t="s">
        <v>45</v>
      </c>
      <c r="L13" s="10" t="s">
        <v>46</v>
      </c>
      <c r="M13" s="10" t="s">
        <v>47</v>
      </c>
      <c r="N13" s="10" t="s">
        <v>48</v>
      </c>
      <c r="O13" s="10" t="s">
        <v>49</v>
      </c>
      <c r="P13" s="10" t="s">
        <v>50</v>
      </c>
      <c r="Q13" s="10" t="s">
        <v>92</v>
      </c>
      <c r="S13" s="10">
        <v>54106</v>
      </c>
      <c r="T13" s="10" t="s">
        <v>52</v>
      </c>
      <c r="V13" s="10" t="s">
        <v>53</v>
      </c>
      <c r="W13" s="10" t="s">
        <v>54</v>
      </c>
      <c r="X13" s="10" t="s">
        <v>55</v>
      </c>
      <c r="Y13" s="10" t="s">
        <v>56</v>
      </c>
      <c r="Z13" s="10" t="s">
        <v>93</v>
      </c>
      <c r="AA13" s="11">
        <v>39415</v>
      </c>
      <c r="AC13" s="10">
        <v>645</v>
      </c>
      <c r="AI13" s="10">
        <v>14.38</v>
      </c>
      <c r="AJ13" s="10">
        <v>0.14000000000000001</v>
      </c>
      <c r="AK13" s="12">
        <v>3.36</v>
      </c>
      <c r="AL13" s="10">
        <v>143</v>
      </c>
      <c r="AM13" s="13">
        <v>34.5</v>
      </c>
      <c r="AN13" s="10">
        <v>3.6</v>
      </c>
      <c r="AO13" s="13">
        <v>1.8</v>
      </c>
      <c r="AP13" s="10">
        <v>1.32</v>
      </c>
    </row>
    <row r="14" spans="1:42" s="10" customFormat="1" x14ac:dyDescent="0.25">
      <c r="A14" s="10" t="s">
        <v>94</v>
      </c>
      <c r="C14" s="10" t="s">
        <v>95</v>
      </c>
      <c r="D14" s="10">
        <v>170.088764915084</v>
      </c>
      <c r="E14" s="10">
        <v>-71.648508512232794</v>
      </c>
      <c r="F14" s="10">
        <v>10</v>
      </c>
      <c r="G14" s="10" t="s">
        <v>96</v>
      </c>
      <c r="H14" s="10">
        <v>20</v>
      </c>
      <c r="I14" s="10" t="s">
        <v>44</v>
      </c>
      <c r="J14" s="10" t="s">
        <v>97</v>
      </c>
      <c r="L14" s="10" t="s">
        <v>46</v>
      </c>
      <c r="M14" s="10" t="s">
        <v>47</v>
      </c>
      <c r="N14" s="10" t="s">
        <v>48</v>
      </c>
      <c r="O14" s="10" t="s">
        <v>49</v>
      </c>
      <c r="P14" s="10" t="s">
        <v>50</v>
      </c>
      <c r="S14" s="10">
        <v>54107</v>
      </c>
      <c r="T14" s="10" t="s">
        <v>52</v>
      </c>
      <c r="V14" s="10" t="s">
        <v>53</v>
      </c>
      <c r="W14" s="10" t="s">
        <v>54</v>
      </c>
      <c r="X14" s="10" t="s">
        <v>55</v>
      </c>
      <c r="Y14" s="10" t="s">
        <v>56</v>
      </c>
      <c r="Z14" s="10" t="s">
        <v>98</v>
      </c>
      <c r="AA14" s="11">
        <v>39415</v>
      </c>
      <c r="AC14" s="10">
        <v>495</v>
      </c>
      <c r="AI14" s="10">
        <v>14.46</v>
      </c>
      <c r="AJ14" s="10">
        <v>0.13</v>
      </c>
      <c r="AK14" s="12">
        <v>3.16</v>
      </c>
      <c r="AL14" s="10">
        <v>158</v>
      </c>
      <c r="AM14" s="13">
        <v>34.299999999999997</v>
      </c>
      <c r="AN14" s="10">
        <v>4</v>
      </c>
      <c r="AO14" s="13">
        <v>2</v>
      </c>
      <c r="AP14" s="10">
        <v>1.28</v>
      </c>
    </row>
    <row r="15" spans="1:42" s="10" customFormat="1" x14ac:dyDescent="0.25">
      <c r="A15" s="10" t="s">
        <v>99</v>
      </c>
      <c r="C15" s="10" t="s">
        <v>42</v>
      </c>
      <c r="D15" s="10">
        <v>169.53760008777101</v>
      </c>
      <c r="E15" s="10">
        <v>-71.918605710908494</v>
      </c>
      <c r="F15" s="10">
        <v>10</v>
      </c>
      <c r="G15" s="10" t="s">
        <v>100</v>
      </c>
      <c r="H15" s="10">
        <v>3533</v>
      </c>
      <c r="I15" s="10" t="s">
        <v>44</v>
      </c>
      <c r="J15" s="10" t="s">
        <v>45</v>
      </c>
      <c r="L15" s="10" t="s">
        <v>46</v>
      </c>
      <c r="M15" s="10" t="s">
        <v>47</v>
      </c>
      <c r="N15" s="10" t="s">
        <v>48</v>
      </c>
      <c r="O15" s="10" t="s">
        <v>49</v>
      </c>
      <c r="P15" s="10" t="s">
        <v>50</v>
      </c>
      <c r="Q15" s="10" t="s">
        <v>101</v>
      </c>
      <c r="S15" s="10">
        <v>54108</v>
      </c>
      <c r="T15" s="10" t="s">
        <v>52</v>
      </c>
      <c r="V15" s="10" t="s">
        <v>53</v>
      </c>
      <c r="W15" s="10" t="s">
        <v>54</v>
      </c>
      <c r="X15" s="10" t="s">
        <v>55</v>
      </c>
      <c r="Y15" s="10" t="s">
        <v>56</v>
      </c>
      <c r="Z15" s="10" t="s">
        <v>102</v>
      </c>
      <c r="AA15" s="11">
        <v>39415</v>
      </c>
      <c r="AC15" s="10">
        <v>460</v>
      </c>
      <c r="AI15" s="10">
        <v>13.79</v>
      </c>
      <c r="AJ15" s="10">
        <v>0.19</v>
      </c>
      <c r="AK15" s="12">
        <v>4.42</v>
      </c>
      <c r="AL15" s="10">
        <v>135</v>
      </c>
      <c r="AM15" s="13">
        <v>56.3</v>
      </c>
      <c r="AN15" s="10">
        <v>6.6</v>
      </c>
      <c r="AO15" s="13">
        <v>3.3</v>
      </c>
      <c r="AP15" s="10">
        <v>1.36</v>
      </c>
    </row>
    <row r="16" spans="1:42" s="10" customFormat="1" x14ac:dyDescent="0.25">
      <c r="A16" s="10" t="s">
        <v>103</v>
      </c>
      <c r="C16" s="10" t="s">
        <v>42</v>
      </c>
      <c r="D16" s="10">
        <v>169.630435942312</v>
      </c>
      <c r="E16" s="10">
        <v>-71.877447633191593</v>
      </c>
      <c r="F16" s="10">
        <v>10</v>
      </c>
      <c r="G16" s="10" t="s">
        <v>100</v>
      </c>
      <c r="H16" s="10">
        <v>2588</v>
      </c>
      <c r="I16" s="10" t="s">
        <v>44</v>
      </c>
      <c r="J16" s="10" t="s">
        <v>45</v>
      </c>
      <c r="L16" s="10" t="s">
        <v>46</v>
      </c>
      <c r="M16" s="10" t="s">
        <v>47</v>
      </c>
      <c r="N16" s="10" t="s">
        <v>48</v>
      </c>
      <c r="O16" s="10" t="s">
        <v>49</v>
      </c>
      <c r="P16" s="10" t="s">
        <v>50</v>
      </c>
      <c r="Q16" s="10" t="s">
        <v>104</v>
      </c>
      <c r="S16" s="10">
        <v>54109</v>
      </c>
      <c r="T16" s="10" t="s">
        <v>52</v>
      </c>
      <c r="V16" s="10" t="s">
        <v>53</v>
      </c>
      <c r="W16" s="10" t="s">
        <v>54</v>
      </c>
      <c r="X16" s="10" t="s">
        <v>55</v>
      </c>
      <c r="Y16" s="10" t="s">
        <v>56</v>
      </c>
      <c r="Z16" s="10" t="s">
        <v>105</v>
      </c>
      <c r="AA16" s="11">
        <v>39415</v>
      </c>
      <c r="AC16" s="10">
        <v>631</v>
      </c>
      <c r="AI16" s="10">
        <v>14.2</v>
      </c>
      <c r="AJ16" s="10">
        <v>0.13</v>
      </c>
      <c r="AK16" s="12">
        <v>2.84</v>
      </c>
      <c r="AL16" s="10">
        <v>114</v>
      </c>
      <c r="AM16" s="13">
        <v>33.200000000000003</v>
      </c>
      <c r="AN16" s="10">
        <v>3.6</v>
      </c>
      <c r="AO16" s="13">
        <v>1.8</v>
      </c>
      <c r="AP16" s="10">
        <v>1.29</v>
      </c>
    </row>
    <row r="17" spans="1:42" s="10" customFormat="1" x14ac:dyDescent="0.25">
      <c r="A17" s="10" t="s">
        <v>106</v>
      </c>
      <c r="C17" s="10" t="s">
        <v>42</v>
      </c>
      <c r="D17" s="10">
        <v>169.62828552819599</v>
      </c>
      <c r="E17" s="10">
        <v>-71.862808428426206</v>
      </c>
      <c r="F17" s="10">
        <v>10</v>
      </c>
      <c r="G17" s="10" t="s">
        <v>100</v>
      </c>
      <c r="H17" s="10">
        <v>2161</v>
      </c>
      <c r="I17" s="10" t="s">
        <v>44</v>
      </c>
      <c r="J17" s="10" t="s">
        <v>45</v>
      </c>
      <c r="L17" s="10" t="s">
        <v>46</v>
      </c>
      <c r="M17" s="10" t="s">
        <v>47</v>
      </c>
      <c r="N17" s="10" t="s">
        <v>48</v>
      </c>
      <c r="O17" s="10" t="s">
        <v>49</v>
      </c>
      <c r="P17" s="10" t="s">
        <v>50</v>
      </c>
      <c r="Q17" s="10" t="s">
        <v>107</v>
      </c>
      <c r="S17" s="10">
        <v>54110</v>
      </c>
      <c r="T17" s="10" t="s">
        <v>52</v>
      </c>
      <c r="V17" s="10" t="s">
        <v>53</v>
      </c>
      <c r="W17" s="10" t="s">
        <v>54</v>
      </c>
      <c r="X17" s="10" t="s">
        <v>55</v>
      </c>
      <c r="Y17" s="10" t="s">
        <v>56</v>
      </c>
      <c r="Z17" s="10" t="s">
        <v>108</v>
      </c>
      <c r="AA17" s="11">
        <v>39415</v>
      </c>
      <c r="AC17" s="10">
        <v>445</v>
      </c>
      <c r="AI17" s="10">
        <v>13.76</v>
      </c>
      <c r="AJ17" s="10">
        <v>0.17</v>
      </c>
      <c r="AK17" s="12">
        <v>3.52</v>
      </c>
      <c r="AL17" s="10">
        <v>111</v>
      </c>
      <c r="AM17" s="13">
        <v>38</v>
      </c>
      <c r="AN17" s="10">
        <v>4.5999999999999996</v>
      </c>
      <c r="AO17" s="13">
        <v>2.2999999999999998</v>
      </c>
      <c r="AP17" s="10">
        <v>1.25</v>
      </c>
    </row>
    <row r="18" spans="1:42" s="10" customFormat="1" x14ac:dyDescent="0.25">
      <c r="A18" s="10" t="s">
        <v>109</v>
      </c>
      <c r="C18" s="10" t="s">
        <v>42</v>
      </c>
      <c r="D18" s="10">
        <v>169.86380726231201</v>
      </c>
      <c r="E18" s="10">
        <v>-71.825949670516906</v>
      </c>
      <c r="F18" s="10">
        <v>10</v>
      </c>
      <c r="G18" s="10" t="s">
        <v>110</v>
      </c>
      <c r="H18" s="10">
        <v>2312</v>
      </c>
      <c r="I18" s="10" t="s">
        <v>44</v>
      </c>
      <c r="J18" s="10" t="s">
        <v>111</v>
      </c>
      <c r="L18" s="10" t="s">
        <v>112</v>
      </c>
      <c r="M18" s="10" t="s">
        <v>113</v>
      </c>
      <c r="N18" s="10" t="s">
        <v>114</v>
      </c>
      <c r="O18" s="10" t="s">
        <v>115</v>
      </c>
      <c r="P18" s="10" t="s">
        <v>50</v>
      </c>
      <c r="Q18" s="10" t="s">
        <v>116</v>
      </c>
      <c r="S18" s="10">
        <v>54111</v>
      </c>
      <c r="T18" s="10" t="s">
        <v>52</v>
      </c>
      <c r="V18" s="10" t="s">
        <v>53</v>
      </c>
      <c r="W18" s="10" t="s">
        <v>54</v>
      </c>
      <c r="X18" s="10" t="s">
        <v>55</v>
      </c>
      <c r="Y18" s="10" t="s">
        <v>56</v>
      </c>
      <c r="Z18" s="10" t="s">
        <v>117</v>
      </c>
      <c r="AA18" s="11">
        <v>39415</v>
      </c>
      <c r="AC18" s="10">
        <v>353</v>
      </c>
      <c r="AI18" s="10">
        <v>14.06</v>
      </c>
      <c r="AJ18" s="10">
        <v>0.26</v>
      </c>
      <c r="AK18" s="12">
        <v>3.82</v>
      </c>
      <c r="AL18" s="10">
        <v>55</v>
      </c>
      <c r="AM18" s="13">
        <v>57</v>
      </c>
      <c r="AN18" s="10">
        <v>7</v>
      </c>
      <c r="AO18" s="13">
        <v>3.5</v>
      </c>
      <c r="AP18" s="10">
        <v>2.83</v>
      </c>
    </row>
    <row r="19" spans="1:42" s="10" customFormat="1" x14ac:dyDescent="0.25">
      <c r="A19" s="10" t="s">
        <v>118</v>
      </c>
      <c r="C19" s="10" t="s">
        <v>119</v>
      </c>
      <c r="D19" s="10">
        <v>169.21366200328899</v>
      </c>
      <c r="E19" s="10">
        <v>-71.371336150648602</v>
      </c>
      <c r="F19" s="10">
        <v>10</v>
      </c>
      <c r="G19" s="10" t="s">
        <v>120</v>
      </c>
      <c r="H19" s="10">
        <v>15</v>
      </c>
      <c r="I19" s="10" t="s">
        <v>44</v>
      </c>
      <c r="J19" s="10" t="s">
        <v>45</v>
      </c>
      <c r="L19" s="10" t="s">
        <v>46</v>
      </c>
      <c r="M19" s="10" t="s">
        <v>47</v>
      </c>
      <c r="N19" s="10" t="s">
        <v>48</v>
      </c>
      <c r="O19" s="10" t="s">
        <v>49</v>
      </c>
      <c r="P19" s="10" t="s">
        <v>50</v>
      </c>
      <c r="Q19" s="10" t="s">
        <v>121</v>
      </c>
      <c r="S19" s="10">
        <v>54112</v>
      </c>
      <c r="T19" s="10" t="s">
        <v>52</v>
      </c>
      <c r="V19" s="10" t="s">
        <v>53</v>
      </c>
      <c r="W19" s="10" t="s">
        <v>54</v>
      </c>
      <c r="X19" s="10" t="s">
        <v>55</v>
      </c>
      <c r="Y19" s="10" t="s">
        <v>56</v>
      </c>
      <c r="Z19" s="10" t="s">
        <v>122</v>
      </c>
      <c r="AA19" s="11">
        <v>39415</v>
      </c>
      <c r="AC19" s="10">
        <v>211</v>
      </c>
      <c r="AI19" s="10">
        <v>14.51</v>
      </c>
      <c r="AJ19" s="10">
        <v>0.34</v>
      </c>
      <c r="AK19" s="12">
        <v>3.5</v>
      </c>
      <c r="AL19" s="10">
        <v>27</v>
      </c>
      <c r="AM19" s="13">
        <v>29.5</v>
      </c>
      <c r="AN19" s="10">
        <v>4.8</v>
      </c>
      <c r="AO19" s="13">
        <v>2.4</v>
      </c>
      <c r="AP19" s="10">
        <v>1.24</v>
      </c>
    </row>
    <row r="20" spans="1:42" s="10" customFormat="1" x14ac:dyDescent="0.25">
      <c r="A20" s="10" t="s">
        <v>123</v>
      </c>
      <c r="C20" s="10" t="s">
        <v>119</v>
      </c>
      <c r="D20" s="10">
        <v>169.10668602471</v>
      </c>
      <c r="E20" s="10">
        <v>-71.399574984733704</v>
      </c>
      <c r="F20" s="10">
        <v>10</v>
      </c>
      <c r="G20" s="10" t="s">
        <v>124</v>
      </c>
      <c r="H20" s="10">
        <v>1250</v>
      </c>
      <c r="I20" s="10" t="s">
        <v>44</v>
      </c>
      <c r="J20" s="10" t="s">
        <v>45</v>
      </c>
      <c r="L20" s="10" t="s">
        <v>46</v>
      </c>
      <c r="M20" s="10" t="s">
        <v>47</v>
      </c>
      <c r="N20" s="10" t="s">
        <v>48</v>
      </c>
      <c r="O20" s="10" t="s">
        <v>49</v>
      </c>
      <c r="P20" s="10" t="s">
        <v>50</v>
      </c>
      <c r="Q20" s="10" t="s">
        <v>125</v>
      </c>
      <c r="S20" s="10">
        <v>54113</v>
      </c>
      <c r="T20" s="10" t="s">
        <v>52</v>
      </c>
      <c r="V20" s="10" t="s">
        <v>53</v>
      </c>
      <c r="W20" s="10" t="s">
        <v>54</v>
      </c>
      <c r="X20" s="10" t="s">
        <v>55</v>
      </c>
      <c r="Y20" s="10" t="s">
        <v>56</v>
      </c>
      <c r="Z20" s="10" t="s">
        <v>126</v>
      </c>
      <c r="AA20" s="11">
        <v>39415</v>
      </c>
      <c r="AC20" s="10">
        <v>609</v>
      </c>
      <c r="AI20" s="10">
        <v>13.87</v>
      </c>
      <c r="AJ20" s="10">
        <v>0.18</v>
      </c>
      <c r="AK20" s="12">
        <v>4.42</v>
      </c>
      <c r="AL20" s="10">
        <v>151</v>
      </c>
      <c r="AM20" s="13">
        <v>45.2</v>
      </c>
      <c r="AN20" s="10">
        <v>4.8</v>
      </c>
      <c r="AO20" s="13">
        <v>2.4</v>
      </c>
      <c r="AP20" s="10">
        <v>1.3</v>
      </c>
    </row>
    <row r="21" spans="1:42" s="10" customFormat="1" x14ac:dyDescent="0.25">
      <c r="A21" s="10" t="s">
        <v>127</v>
      </c>
      <c r="C21" s="10" t="s">
        <v>119</v>
      </c>
      <c r="D21" s="10">
        <v>168.07361647453601</v>
      </c>
      <c r="E21" s="10">
        <v>-71.106924074301105</v>
      </c>
      <c r="F21" s="10">
        <v>10</v>
      </c>
      <c r="G21" s="10" t="s">
        <v>128</v>
      </c>
      <c r="H21" s="10">
        <v>5</v>
      </c>
      <c r="I21" s="10" t="s">
        <v>129</v>
      </c>
      <c r="J21" s="10" t="s">
        <v>45</v>
      </c>
      <c r="L21" s="10" t="s">
        <v>46</v>
      </c>
      <c r="M21" s="10" t="s">
        <v>47</v>
      </c>
      <c r="N21" s="10" t="s">
        <v>48</v>
      </c>
      <c r="O21" s="10" t="s">
        <v>49</v>
      </c>
      <c r="P21" s="10" t="s">
        <v>50</v>
      </c>
      <c r="S21" s="10">
        <v>54114</v>
      </c>
      <c r="T21" s="10" t="s">
        <v>52</v>
      </c>
      <c r="V21" s="10" t="s">
        <v>53</v>
      </c>
      <c r="W21" s="10" t="s">
        <v>54</v>
      </c>
      <c r="X21" s="10" t="s">
        <v>55</v>
      </c>
      <c r="Y21" s="10" t="s">
        <v>56</v>
      </c>
      <c r="Z21" s="10" t="s">
        <v>130</v>
      </c>
      <c r="AA21" s="11">
        <v>39415</v>
      </c>
      <c r="AC21" s="10">
        <v>610</v>
      </c>
      <c r="AI21" s="10">
        <v>13.42</v>
      </c>
      <c r="AJ21" s="10">
        <v>0.18</v>
      </c>
      <c r="AK21" s="12">
        <v>4.24</v>
      </c>
      <c r="AL21" s="10">
        <v>145</v>
      </c>
      <c r="AM21" s="13">
        <v>35.6</v>
      </c>
      <c r="AN21" s="10">
        <v>3.6</v>
      </c>
      <c r="AO21" s="13">
        <v>1.8</v>
      </c>
      <c r="AP21" s="10">
        <v>1.31</v>
      </c>
    </row>
    <row r="22" spans="1:42" s="10" customFormat="1" x14ac:dyDescent="0.25">
      <c r="A22" s="10" t="s">
        <v>131</v>
      </c>
      <c r="C22" s="10" t="s">
        <v>95</v>
      </c>
      <c r="D22" s="10">
        <v>170.169334732371</v>
      </c>
      <c r="E22" s="10">
        <v>-72.033417539055804</v>
      </c>
      <c r="F22" s="10">
        <v>10</v>
      </c>
      <c r="G22" s="10" t="s">
        <v>132</v>
      </c>
      <c r="H22" s="10">
        <v>0</v>
      </c>
      <c r="I22" s="10" t="s">
        <v>44</v>
      </c>
      <c r="J22" s="10" t="s">
        <v>133</v>
      </c>
      <c r="L22" s="10" t="s">
        <v>112</v>
      </c>
      <c r="M22" s="10" t="s">
        <v>134</v>
      </c>
      <c r="N22" s="10" t="s">
        <v>114</v>
      </c>
      <c r="O22" s="10" t="s">
        <v>115</v>
      </c>
      <c r="P22" s="10" t="s">
        <v>50</v>
      </c>
      <c r="Q22" s="10" t="s">
        <v>135</v>
      </c>
      <c r="S22" s="10">
        <v>54115</v>
      </c>
      <c r="T22" s="10" t="s">
        <v>52</v>
      </c>
      <c r="V22" s="10" t="s">
        <v>53</v>
      </c>
      <c r="W22" s="10" t="s">
        <v>54</v>
      </c>
      <c r="X22" s="10" t="s">
        <v>55</v>
      </c>
      <c r="Y22" s="10" t="s">
        <v>56</v>
      </c>
      <c r="Z22" s="10" t="s">
        <v>136</v>
      </c>
      <c r="AA22" s="11">
        <v>39415</v>
      </c>
      <c r="AC22" s="10">
        <v>476</v>
      </c>
      <c r="AI22" s="10">
        <v>13.93</v>
      </c>
      <c r="AJ22" s="10">
        <v>0.14000000000000001</v>
      </c>
      <c r="AK22" s="12">
        <v>3.2</v>
      </c>
      <c r="AL22" s="10">
        <v>130</v>
      </c>
      <c r="AM22" s="13">
        <v>29.1</v>
      </c>
      <c r="AN22" s="10">
        <v>3.4</v>
      </c>
      <c r="AO22" s="13">
        <v>1.7</v>
      </c>
      <c r="AP22" s="10">
        <v>1.3</v>
      </c>
    </row>
    <row r="23" spans="1:42" s="10" customFormat="1" x14ac:dyDescent="0.25">
      <c r="A23" s="10" t="s">
        <v>137</v>
      </c>
      <c r="C23" s="10" t="s">
        <v>95</v>
      </c>
      <c r="D23" s="10">
        <v>170.158334703874</v>
      </c>
      <c r="E23" s="10">
        <v>-72.022218177241001</v>
      </c>
      <c r="F23" s="10">
        <v>10</v>
      </c>
      <c r="G23" s="10" t="s">
        <v>132</v>
      </c>
      <c r="H23" s="10">
        <v>353</v>
      </c>
      <c r="I23" s="10" t="s">
        <v>44</v>
      </c>
      <c r="J23" s="10" t="s">
        <v>133</v>
      </c>
      <c r="L23" s="10" t="s">
        <v>112</v>
      </c>
      <c r="M23" s="10" t="s">
        <v>134</v>
      </c>
      <c r="N23" s="10" t="s">
        <v>114</v>
      </c>
      <c r="O23" s="10" t="s">
        <v>115</v>
      </c>
      <c r="P23" s="10" t="s">
        <v>50</v>
      </c>
      <c r="Q23" s="10" t="s">
        <v>138</v>
      </c>
      <c r="S23" s="10">
        <v>54116</v>
      </c>
      <c r="T23" s="10" t="s">
        <v>52</v>
      </c>
      <c r="V23" s="10" t="s">
        <v>53</v>
      </c>
      <c r="W23" s="10" t="s">
        <v>54</v>
      </c>
      <c r="X23" s="10" t="s">
        <v>55</v>
      </c>
      <c r="Y23" s="10" t="s">
        <v>56</v>
      </c>
      <c r="Z23" s="10" t="s">
        <v>139</v>
      </c>
      <c r="AA23" s="11">
        <v>39415</v>
      </c>
      <c r="AC23" s="10">
        <v>68</v>
      </c>
      <c r="AI23" s="10">
        <v>13.89</v>
      </c>
      <c r="AJ23" s="10">
        <v>0.13</v>
      </c>
      <c r="AK23" s="12">
        <v>3.04</v>
      </c>
      <c r="AL23" s="10">
        <v>146</v>
      </c>
      <c r="AM23" s="13">
        <v>33.4</v>
      </c>
      <c r="AN23" s="10">
        <v>8.6</v>
      </c>
      <c r="AO23" s="13">
        <v>4.3</v>
      </c>
      <c r="AP23" s="10">
        <v>1.28</v>
      </c>
    </row>
    <row r="24" spans="1:42" s="10" customFormat="1" x14ac:dyDescent="0.25">
      <c r="A24" s="10" t="s">
        <v>140</v>
      </c>
      <c r="C24" s="10" t="s">
        <v>95</v>
      </c>
      <c r="D24" s="10">
        <v>169.962850621809</v>
      </c>
      <c r="E24" s="10">
        <v>-72.322472560240698</v>
      </c>
      <c r="F24" s="10">
        <v>10</v>
      </c>
      <c r="G24" s="10" t="s">
        <v>141</v>
      </c>
      <c r="H24" s="10">
        <v>0</v>
      </c>
      <c r="I24" s="10" t="s">
        <v>44</v>
      </c>
      <c r="J24" s="10" t="s">
        <v>45</v>
      </c>
      <c r="L24" s="10" t="s">
        <v>46</v>
      </c>
      <c r="M24" s="10" t="s">
        <v>47</v>
      </c>
      <c r="N24" s="10" t="s">
        <v>48</v>
      </c>
      <c r="O24" s="10" t="s">
        <v>49</v>
      </c>
      <c r="P24" s="10" t="s">
        <v>50</v>
      </c>
      <c r="Q24" s="10" t="s">
        <v>142</v>
      </c>
      <c r="S24" s="10">
        <v>54117</v>
      </c>
      <c r="T24" s="10" t="s">
        <v>52</v>
      </c>
      <c r="V24" s="10" t="s">
        <v>53</v>
      </c>
      <c r="W24" s="10" t="s">
        <v>54</v>
      </c>
      <c r="X24" s="10" t="s">
        <v>55</v>
      </c>
      <c r="Y24" s="10" t="s">
        <v>56</v>
      </c>
      <c r="Z24" s="10" t="s">
        <v>143</v>
      </c>
      <c r="AA24" s="11">
        <v>39415</v>
      </c>
      <c r="AC24" s="10">
        <v>636</v>
      </c>
      <c r="AI24" s="10">
        <v>14.3</v>
      </c>
      <c r="AJ24" s="10">
        <v>0.13</v>
      </c>
      <c r="AK24" s="12">
        <v>3.06</v>
      </c>
      <c r="AL24" s="10">
        <v>135</v>
      </c>
      <c r="AM24" s="13">
        <v>22.9</v>
      </c>
      <c r="AN24" s="10">
        <v>2.4</v>
      </c>
      <c r="AO24" s="13">
        <v>1.2</v>
      </c>
      <c r="AP24" s="10">
        <v>1.28</v>
      </c>
    </row>
    <row r="25" spans="1:42" s="10" customFormat="1" x14ac:dyDescent="0.25">
      <c r="A25" s="10" t="s">
        <v>144</v>
      </c>
      <c r="C25" s="10" t="s">
        <v>95</v>
      </c>
      <c r="D25" s="10">
        <v>169.75259660329701</v>
      </c>
      <c r="E25" s="10">
        <v>-72.307824012519404</v>
      </c>
      <c r="F25" s="10">
        <v>10</v>
      </c>
      <c r="G25" s="10" t="s">
        <v>145</v>
      </c>
      <c r="H25" s="10">
        <v>1746</v>
      </c>
      <c r="I25" s="10" t="s">
        <v>44</v>
      </c>
      <c r="J25" s="10" t="s">
        <v>45</v>
      </c>
      <c r="L25" s="10" t="s">
        <v>46</v>
      </c>
      <c r="M25" s="10" t="s">
        <v>47</v>
      </c>
      <c r="N25" s="10" t="s">
        <v>48</v>
      </c>
      <c r="O25" s="10" t="s">
        <v>49</v>
      </c>
      <c r="P25" s="10" t="s">
        <v>50</v>
      </c>
      <c r="Q25" s="10" t="s">
        <v>146</v>
      </c>
      <c r="S25" s="10">
        <v>54118</v>
      </c>
      <c r="T25" s="10" t="s">
        <v>52</v>
      </c>
      <c r="V25" s="10" t="s">
        <v>53</v>
      </c>
      <c r="W25" s="10" t="s">
        <v>54</v>
      </c>
      <c r="X25" s="10" t="s">
        <v>55</v>
      </c>
      <c r="Y25" s="10" t="s">
        <v>56</v>
      </c>
      <c r="Z25" s="10" t="s">
        <v>147</v>
      </c>
      <c r="AA25" s="11">
        <v>39415</v>
      </c>
      <c r="AC25" s="10">
        <v>265</v>
      </c>
      <c r="AI25" s="10">
        <v>14.86</v>
      </c>
      <c r="AJ25" s="10">
        <v>0.17</v>
      </c>
      <c r="AK25" s="12">
        <v>2.38</v>
      </c>
      <c r="AL25" s="10">
        <v>51</v>
      </c>
      <c r="AM25" s="13">
        <v>24.3</v>
      </c>
      <c r="AN25" s="10">
        <v>3.4</v>
      </c>
      <c r="AO25" s="13">
        <v>1.7</v>
      </c>
      <c r="AP25" s="10">
        <v>1.26</v>
      </c>
    </row>
    <row r="26" spans="1:42" x14ac:dyDescent="0.25">
      <c r="A26" s="1" t="s">
        <v>90</v>
      </c>
      <c r="C26" s="1" t="s">
        <v>42</v>
      </c>
      <c r="D26" s="1">
        <v>170.10136466476601</v>
      </c>
      <c r="E26" s="1">
        <v>-71.652508258306597</v>
      </c>
      <c r="F26" s="1">
        <v>10</v>
      </c>
      <c r="G26" s="1" t="s">
        <v>91</v>
      </c>
      <c r="H26" s="1">
        <v>264</v>
      </c>
      <c r="I26" s="1" t="s">
        <v>44</v>
      </c>
      <c r="J26" s="1" t="s">
        <v>45</v>
      </c>
      <c r="L26" s="1" t="s">
        <v>46</v>
      </c>
      <c r="M26" s="1" t="s">
        <v>47</v>
      </c>
      <c r="N26" s="1" t="s">
        <v>48</v>
      </c>
      <c r="O26" s="1" t="s">
        <v>49</v>
      </c>
      <c r="P26" s="1" t="s">
        <v>50</v>
      </c>
      <c r="Q26" s="1" t="s">
        <v>92</v>
      </c>
      <c r="S26" s="1">
        <v>54196</v>
      </c>
      <c r="T26" s="1" t="s">
        <v>52</v>
      </c>
      <c r="U26" s="1">
        <v>1</v>
      </c>
      <c r="V26" s="1" t="s">
        <v>148</v>
      </c>
      <c r="W26" s="1" t="s">
        <v>54</v>
      </c>
      <c r="X26" s="1" t="s">
        <v>149</v>
      </c>
      <c r="Y26" s="1" t="s">
        <v>150</v>
      </c>
      <c r="Z26" s="1">
        <v>79049</v>
      </c>
      <c r="AA26" s="14">
        <v>39295</v>
      </c>
      <c r="AM26" s="3">
        <v>31.5</v>
      </c>
      <c r="AN26" s="1">
        <v>4.8</v>
      </c>
      <c r="AO26" s="3">
        <v>2.4</v>
      </c>
    </row>
    <row r="27" spans="1:42" x14ac:dyDescent="0.25">
      <c r="A27" s="1" t="s">
        <v>90</v>
      </c>
      <c r="C27" s="1" t="s">
        <v>42</v>
      </c>
      <c r="D27" s="1">
        <v>170.10136466476601</v>
      </c>
      <c r="E27" s="1">
        <v>-71.652508258306597</v>
      </c>
      <c r="F27" s="1">
        <v>10</v>
      </c>
      <c r="G27" s="1" t="s">
        <v>91</v>
      </c>
      <c r="H27" s="1">
        <v>264</v>
      </c>
      <c r="I27" s="1" t="s">
        <v>44</v>
      </c>
      <c r="J27" s="1" t="s">
        <v>45</v>
      </c>
      <c r="L27" s="1" t="s">
        <v>46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92</v>
      </c>
      <c r="S27" s="1">
        <v>54197</v>
      </c>
      <c r="T27" s="1" t="s">
        <v>52</v>
      </c>
      <c r="U27" s="1">
        <v>2</v>
      </c>
      <c r="V27" s="1" t="s">
        <v>148</v>
      </c>
      <c r="W27" s="1" t="s">
        <v>54</v>
      </c>
      <c r="X27" s="1" t="s">
        <v>149</v>
      </c>
      <c r="Y27" s="1" t="s">
        <v>150</v>
      </c>
      <c r="Z27" s="1">
        <v>79049</v>
      </c>
      <c r="AA27" s="14">
        <v>39295</v>
      </c>
      <c r="AM27" s="3">
        <v>33.1</v>
      </c>
      <c r="AN27" s="1">
        <v>5</v>
      </c>
      <c r="AO27" s="3">
        <v>2.5</v>
      </c>
    </row>
    <row r="28" spans="1:42" x14ac:dyDescent="0.25">
      <c r="A28" s="1" t="s">
        <v>90</v>
      </c>
      <c r="C28" s="1" t="s">
        <v>42</v>
      </c>
      <c r="D28" s="1">
        <v>170.10136466476601</v>
      </c>
      <c r="E28" s="1">
        <v>-71.652508258306597</v>
      </c>
      <c r="F28" s="1">
        <v>10</v>
      </c>
      <c r="G28" s="1" t="s">
        <v>91</v>
      </c>
      <c r="H28" s="1">
        <v>264</v>
      </c>
      <c r="I28" s="1" t="s">
        <v>44</v>
      </c>
      <c r="J28" s="1" t="s">
        <v>45</v>
      </c>
      <c r="L28" s="1" t="s">
        <v>46</v>
      </c>
      <c r="M28" s="1" t="s">
        <v>47</v>
      </c>
      <c r="N28" s="1" t="s">
        <v>48</v>
      </c>
      <c r="O28" s="1" t="s">
        <v>49</v>
      </c>
      <c r="P28" s="1" t="s">
        <v>50</v>
      </c>
      <c r="Q28" s="1" t="s">
        <v>92</v>
      </c>
      <c r="S28" s="1">
        <v>54198</v>
      </c>
      <c r="T28" s="1" t="s">
        <v>52</v>
      </c>
      <c r="U28" s="1">
        <v>3</v>
      </c>
      <c r="V28" s="1" t="s">
        <v>148</v>
      </c>
      <c r="W28" s="1" t="s">
        <v>54</v>
      </c>
      <c r="X28" s="1" t="s">
        <v>149</v>
      </c>
      <c r="Y28" s="1" t="s">
        <v>150</v>
      </c>
      <c r="Z28" s="1">
        <v>79049</v>
      </c>
      <c r="AA28" s="14">
        <v>39295</v>
      </c>
      <c r="AM28" s="3">
        <v>156.6</v>
      </c>
      <c r="AN28" s="1">
        <v>23</v>
      </c>
      <c r="AO28" s="3">
        <v>11.5</v>
      </c>
    </row>
    <row r="29" spans="1:42" x14ac:dyDescent="0.25">
      <c r="A29" s="1" t="s">
        <v>90</v>
      </c>
      <c r="C29" s="1" t="s">
        <v>42</v>
      </c>
      <c r="D29" s="1">
        <v>170.10136466476601</v>
      </c>
      <c r="E29" s="1">
        <v>-71.652508258306597</v>
      </c>
      <c r="F29" s="1">
        <v>10</v>
      </c>
      <c r="G29" s="1" t="s">
        <v>91</v>
      </c>
      <c r="H29" s="1">
        <v>264</v>
      </c>
      <c r="I29" s="1" t="s">
        <v>44</v>
      </c>
      <c r="J29" s="1" t="s">
        <v>45</v>
      </c>
      <c r="L29" s="1" t="s">
        <v>46</v>
      </c>
      <c r="M29" s="1" t="s">
        <v>47</v>
      </c>
      <c r="N29" s="1" t="s">
        <v>48</v>
      </c>
      <c r="O29" s="1" t="s">
        <v>49</v>
      </c>
      <c r="P29" s="1" t="s">
        <v>50</v>
      </c>
      <c r="Q29" s="1" t="s">
        <v>92</v>
      </c>
      <c r="S29" s="1">
        <v>54199</v>
      </c>
      <c r="T29" s="1" t="s">
        <v>52</v>
      </c>
      <c r="U29" s="1">
        <v>4</v>
      </c>
      <c r="V29" s="1" t="s">
        <v>148</v>
      </c>
      <c r="W29" s="1" t="s">
        <v>54</v>
      </c>
      <c r="X29" s="1" t="s">
        <v>149</v>
      </c>
      <c r="Y29" s="1" t="s">
        <v>150</v>
      </c>
      <c r="Z29" s="1">
        <v>79049</v>
      </c>
      <c r="AA29" s="14">
        <v>39295</v>
      </c>
      <c r="AM29" s="3">
        <v>39.200000000000003</v>
      </c>
      <c r="AN29" s="1">
        <v>2.8</v>
      </c>
      <c r="AO29" s="3">
        <v>1.4</v>
      </c>
    </row>
    <row r="30" spans="1:42" x14ac:dyDescent="0.25">
      <c r="A30" s="1" t="s">
        <v>90</v>
      </c>
      <c r="C30" s="1" t="s">
        <v>42</v>
      </c>
      <c r="D30" s="1">
        <v>170.10136466476601</v>
      </c>
      <c r="E30" s="1">
        <v>-71.652508258306597</v>
      </c>
      <c r="F30" s="1">
        <v>10</v>
      </c>
      <c r="G30" s="1" t="s">
        <v>91</v>
      </c>
      <c r="H30" s="1">
        <v>264</v>
      </c>
      <c r="I30" s="1" t="s">
        <v>44</v>
      </c>
      <c r="J30" s="1" t="s">
        <v>45</v>
      </c>
      <c r="L30" s="1" t="s">
        <v>46</v>
      </c>
      <c r="M30" s="1" t="s">
        <v>47</v>
      </c>
      <c r="N30" s="1" t="s">
        <v>48</v>
      </c>
      <c r="O30" s="1" t="s">
        <v>49</v>
      </c>
      <c r="P30" s="1" t="s">
        <v>50</v>
      </c>
      <c r="Q30" s="1" t="s">
        <v>92</v>
      </c>
      <c r="S30" s="1">
        <v>54200</v>
      </c>
      <c r="T30" s="1" t="s">
        <v>52</v>
      </c>
      <c r="U30" s="1">
        <v>5</v>
      </c>
      <c r="V30" s="1" t="s">
        <v>148</v>
      </c>
      <c r="W30" s="1" t="s">
        <v>54</v>
      </c>
      <c r="X30" s="1" t="s">
        <v>149</v>
      </c>
      <c r="Y30" s="1" t="s">
        <v>150</v>
      </c>
      <c r="Z30" s="1">
        <v>79049</v>
      </c>
      <c r="AA30" s="14">
        <v>39295</v>
      </c>
      <c r="AM30" s="3">
        <v>40.200000000000003</v>
      </c>
      <c r="AN30" s="1">
        <v>3</v>
      </c>
      <c r="AO30" s="3">
        <v>1.5</v>
      </c>
    </row>
    <row r="31" spans="1:42" x14ac:dyDescent="0.25">
      <c r="A31" s="1" t="s">
        <v>90</v>
      </c>
      <c r="C31" s="1" t="s">
        <v>42</v>
      </c>
      <c r="D31" s="1">
        <v>170.10136466476601</v>
      </c>
      <c r="E31" s="1">
        <v>-71.652508258306597</v>
      </c>
      <c r="F31" s="1">
        <v>10</v>
      </c>
      <c r="G31" s="1" t="s">
        <v>91</v>
      </c>
      <c r="H31" s="1">
        <v>264</v>
      </c>
      <c r="I31" s="1" t="s">
        <v>44</v>
      </c>
      <c r="J31" s="1" t="s">
        <v>45</v>
      </c>
      <c r="L31" s="1" t="s">
        <v>46</v>
      </c>
      <c r="M31" s="1" t="s">
        <v>47</v>
      </c>
      <c r="N31" s="1" t="s">
        <v>48</v>
      </c>
      <c r="O31" s="1" t="s">
        <v>49</v>
      </c>
      <c r="P31" s="1" t="s">
        <v>50</v>
      </c>
      <c r="Q31" s="1" t="s">
        <v>92</v>
      </c>
      <c r="S31" s="1">
        <v>54201</v>
      </c>
      <c r="T31" s="1" t="s">
        <v>52</v>
      </c>
      <c r="U31" s="1">
        <v>6</v>
      </c>
      <c r="V31" s="1" t="s">
        <v>148</v>
      </c>
      <c r="W31" s="1" t="s">
        <v>54</v>
      </c>
      <c r="X31" s="1" t="s">
        <v>149</v>
      </c>
      <c r="Y31" s="1" t="s">
        <v>150</v>
      </c>
      <c r="Z31" s="1">
        <v>79049</v>
      </c>
      <c r="AA31" s="14">
        <v>39295</v>
      </c>
      <c r="AM31" s="3">
        <v>39.5</v>
      </c>
      <c r="AN31" s="1">
        <v>3.4</v>
      </c>
      <c r="AO31" s="3">
        <v>1.7</v>
      </c>
    </row>
    <row r="32" spans="1:42" x14ac:dyDescent="0.25">
      <c r="A32" s="1" t="s">
        <v>90</v>
      </c>
      <c r="C32" s="1" t="s">
        <v>42</v>
      </c>
      <c r="D32" s="1">
        <v>170.10136466476601</v>
      </c>
      <c r="E32" s="1">
        <v>-71.652508258306597</v>
      </c>
      <c r="F32" s="1">
        <v>10</v>
      </c>
      <c r="G32" s="1" t="s">
        <v>91</v>
      </c>
      <c r="H32" s="1">
        <v>264</v>
      </c>
      <c r="I32" s="1" t="s">
        <v>44</v>
      </c>
      <c r="J32" s="1" t="s">
        <v>45</v>
      </c>
      <c r="L32" s="1" t="s">
        <v>46</v>
      </c>
      <c r="M32" s="1" t="s">
        <v>47</v>
      </c>
      <c r="N32" s="1" t="s">
        <v>48</v>
      </c>
      <c r="O32" s="1" t="s">
        <v>49</v>
      </c>
      <c r="P32" s="1" t="s">
        <v>50</v>
      </c>
      <c r="Q32" s="1" t="s">
        <v>92</v>
      </c>
      <c r="S32" s="1">
        <v>54202</v>
      </c>
      <c r="T32" s="1" t="s">
        <v>52</v>
      </c>
      <c r="U32" s="1">
        <v>7</v>
      </c>
      <c r="V32" s="1" t="s">
        <v>148</v>
      </c>
      <c r="W32" s="1" t="s">
        <v>54</v>
      </c>
      <c r="X32" s="1" t="s">
        <v>149</v>
      </c>
      <c r="Y32" s="1" t="s">
        <v>150</v>
      </c>
      <c r="Z32" s="1">
        <v>79049</v>
      </c>
      <c r="AA32" s="14">
        <v>39295</v>
      </c>
      <c r="AM32" s="3">
        <v>35.700000000000003</v>
      </c>
      <c r="AN32" s="1">
        <v>4.4000000000000004</v>
      </c>
      <c r="AO32" s="3">
        <v>2.2000000000000002</v>
      </c>
    </row>
    <row r="33" spans="1:41" x14ac:dyDescent="0.25">
      <c r="A33" s="1" t="s">
        <v>90</v>
      </c>
      <c r="C33" s="1" t="s">
        <v>42</v>
      </c>
      <c r="D33" s="1">
        <v>170.10136466476601</v>
      </c>
      <c r="E33" s="1">
        <v>-71.652508258306597</v>
      </c>
      <c r="F33" s="1">
        <v>10</v>
      </c>
      <c r="G33" s="1" t="s">
        <v>91</v>
      </c>
      <c r="H33" s="1">
        <v>264</v>
      </c>
      <c r="I33" s="1" t="s">
        <v>44</v>
      </c>
      <c r="J33" s="1" t="s">
        <v>45</v>
      </c>
      <c r="L33" s="1" t="s">
        <v>46</v>
      </c>
      <c r="M33" s="1" t="s">
        <v>47</v>
      </c>
      <c r="N33" s="1" t="s">
        <v>48</v>
      </c>
      <c r="O33" s="1" t="s">
        <v>49</v>
      </c>
      <c r="P33" s="1" t="s">
        <v>50</v>
      </c>
      <c r="Q33" s="1" t="s">
        <v>92</v>
      </c>
      <c r="S33" s="1">
        <v>54203</v>
      </c>
      <c r="T33" s="1" t="s">
        <v>52</v>
      </c>
      <c r="U33" s="1">
        <v>8</v>
      </c>
      <c r="V33" s="1" t="s">
        <v>148</v>
      </c>
      <c r="W33" s="1" t="s">
        <v>54</v>
      </c>
      <c r="X33" s="1" t="s">
        <v>149</v>
      </c>
      <c r="Y33" s="1" t="s">
        <v>150</v>
      </c>
      <c r="Z33" s="1">
        <v>79049</v>
      </c>
      <c r="AA33" s="14">
        <v>39295</v>
      </c>
      <c r="AM33" s="3">
        <v>32</v>
      </c>
      <c r="AN33" s="1">
        <v>3.4</v>
      </c>
      <c r="AO33" s="3">
        <v>1.7</v>
      </c>
    </row>
    <row r="34" spans="1:41" x14ac:dyDescent="0.25">
      <c r="A34" s="1" t="s">
        <v>90</v>
      </c>
      <c r="C34" s="1" t="s">
        <v>42</v>
      </c>
      <c r="D34" s="1">
        <v>170.10136466476601</v>
      </c>
      <c r="E34" s="1">
        <v>-71.652508258306597</v>
      </c>
      <c r="F34" s="1">
        <v>10</v>
      </c>
      <c r="G34" s="1" t="s">
        <v>91</v>
      </c>
      <c r="H34" s="1">
        <v>264</v>
      </c>
      <c r="I34" s="1" t="s">
        <v>44</v>
      </c>
      <c r="J34" s="1" t="s">
        <v>45</v>
      </c>
      <c r="L34" s="1" t="s">
        <v>46</v>
      </c>
      <c r="M34" s="1" t="s">
        <v>47</v>
      </c>
      <c r="N34" s="1" t="s">
        <v>48</v>
      </c>
      <c r="O34" s="1" t="s">
        <v>49</v>
      </c>
      <c r="P34" s="1" t="s">
        <v>50</v>
      </c>
      <c r="Q34" s="1" t="s">
        <v>92</v>
      </c>
      <c r="S34" s="1">
        <v>54204</v>
      </c>
      <c r="T34" s="1" t="s">
        <v>52</v>
      </c>
      <c r="U34" s="1">
        <v>9</v>
      </c>
      <c r="V34" s="1" t="s">
        <v>148</v>
      </c>
      <c r="W34" s="1" t="s">
        <v>54</v>
      </c>
      <c r="X34" s="1" t="s">
        <v>149</v>
      </c>
      <c r="Y34" s="1" t="s">
        <v>150</v>
      </c>
      <c r="Z34" s="1">
        <v>79049</v>
      </c>
      <c r="AA34" s="14">
        <v>39295</v>
      </c>
      <c r="AM34" s="3">
        <v>45.8</v>
      </c>
      <c r="AN34" s="1">
        <v>4.5999999999999996</v>
      </c>
      <c r="AO34" s="3">
        <v>2.2999999999999998</v>
      </c>
    </row>
    <row r="35" spans="1:41" x14ac:dyDescent="0.25">
      <c r="A35" s="1" t="s">
        <v>94</v>
      </c>
      <c r="C35" s="1" t="s">
        <v>95</v>
      </c>
      <c r="D35" s="1">
        <v>170.088764915084</v>
      </c>
      <c r="E35" s="1">
        <v>-71.648508512232794</v>
      </c>
      <c r="F35" s="1">
        <v>10</v>
      </c>
      <c r="G35" s="1" t="s">
        <v>96</v>
      </c>
      <c r="H35" s="1">
        <v>20</v>
      </c>
      <c r="I35" s="1" t="s">
        <v>44</v>
      </c>
      <c r="J35" s="1" t="s">
        <v>97</v>
      </c>
      <c r="L35" s="1" t="s">
        <v>46</v>
      </c>
      <c r="M35" s="1" t="s">
        <v>47</v>
      </c>
      <c r="N35" s="1" t="s">
        <v>48</v>
      </c>
      <c r="O35" s="1" t="s">
        <v>49</v>
      </c>
      <c r="P35" s="1" t="s">
        <v>50</v>
      </c>
      <c r="S35" s="1">
        <v>54205</v>
      </c>
      <c r="T35" s="1" t="s">
        <v>52</v>
      </c>
      <c r="U35" s="1">
        <v>2</v>
      </c>
      <c r="V35" s="1" t="s">
        <v>148</v>
      </c>
      <c r="W35" s="1" t="s">
        <v>54</v>
      </c>
      <c r="X35" s="1" t="s">
        <v>149</v>
      </c>
      <c r="Y35" s="1" t="s">
        <v>150</v>
      </c>
      <c r="Z35" s="1">
        <v>79059</v>
      </c>
      <c r="AA35" s="14">
        <v>39295</v>
      </c>
      <c r="AM35" s="3">
        <v>47.1</v>
      </c>
      <c r="AN35" s="1">
        <v>7</v>
      </c>
      <c r="AO35" s="3">
        <v>3.5</v>
      </c>
    </row>
    <row r="36" spans="1:41" x14ac:dyDescent="0.25">
      <c r="A36" s="1" t="s">
        <v>94</v>
      </c>
      <c r="C36" s="1" t="s">
        <v>95</v>
      </c>
      <c r="D36" s="1">
        <v>170.088764915084</v>
      </c>
      <c r="E36" s="1">
        <v>-71.648508512232794</v>
      </c>
      <c r="F36" s="1">
        <v>10</v>
      </c>
      <c r="G36" s="1" t="s">
        <v>96</v>
      </c>
      <c r="H36" s="1">
        <v>20</v>
      </c>
      <c r="I36" s="1" t="s">
        <v>44</v>
      </c>
      <c r="J36" s="1" t="s">
        <v>97</v>
      </c>
      <c r="L36" s="1" t="s">
        <v>46</v>
      </c>
      <c r="M36" s="1" t="s">
        <v>47</v>
      </c>
      <c r="N36" s="1" t="s">
        <v>48</v>
      </c>
      <c r="O36" s="1" t="s">
        <v>49</v>
      </c>
      <c r="P36" s="1" t="s">
        <v>50</v>
      </c>
      <c r="S36" s="1">
        <v>54206</v>
      </c>
      <c r="T36" s="1" t="s">
        <v>52</v>
      </c>
      <c r="U36" s="1">
        <v>4</v>
      </c>
      <c r="V36" s="1" t="s">
        <v>148</v>
      </c>
      <c r="W36" s="1" t="s">
        <v>54</v>
      </c>
      <c r="X36" s="1" t="s">
        <v>149</v>
      </c>
      <c r="Y36" s="1" t="s">
        <v>150</v>
      </c>
      <c r="Z36" s="1">
        <v>79059</v>
      </c>
      <c r="AA36" s="14">
        <v>39295</v>
      </c>
      <c r="AM36" s="3">
        <v>35.4</v>
      </c>
      <c r="AN36" s="1">
        <v>3.2</v>
      </c>
      <c r="AO36" s="3">
        <v>1.6</v>
      </c>
    </row>
    <row r="37" spans="1:41" x14ac:dyDescent="0.25">
      <c r="A37" s="1" t="s">
        <v>94</v>
      </c>
      <c r="C37" s="1" t="s">
        <v>95</v>
      </c>
      <c r="D37" s="1">
        <v>170.088764915084</v>
      </c>
      <c r="E37" s="1">
        <v>-71.648508512232794</v>
      </c>
      <c r="F37" s="1">
        <v>10</v>
      </c>
      <c r="G37" s="1" t="s">
        <v>96</v>
      </c>
      <c r="H37" s="1">
        <v>20</v>
      </c>
      <c r="I37" s="1" t="s">
        <v>44</v>
      </c>
      <c r="J37" s="1" t="s">
        <v>97</v>
      </c>
      <c r="L37" s="1" t="s">
        <v>46</v>
      </c>
      <c r="M37" s="1" t="s">
        <v>47</v>
      </c>
      <c r="N37" s="1" t="s">
        <v>48</v>
      </c>
      <c r="O37" s="1" t="s">
        <v>49</v>
      </c>
      <c r="P37" s="1" t="s">
        <v>50</v>
      </c>
      <c r="S37" s="1">
        <v>54207</v>
      </c>
      <c r="T37" s="1" t="s">
        <v>52</v>
      </c>
      <c r="U37" s="1">
        <v>5</v>
      </c>
      <c r="V37" s="1" t="s">
        <v>148</v>
      </c>
      <c r="W37" s="1" t="s">
        <v>54</v>
      </c>
      <c r="X37" s="1" t="s">
        <v>149</v>
      </c>
      <c r="Y37" s="1" t="s">
        <v>150</v>
      </c>
      <c r="Z37" s="1">
        <v>79059</v>
      </c>
      <c r="AA37" s="14">
        <v>39295</v>
      </c>
      <c r="AM37" s="3">
        <v>33.1</v>
      </c>
      <c r="AN37" s="1">
        <v>2</v>
      </c>
      <c r="AO37" s="3">
        <v>1</v>
      </c>
    </row>
    <row r="38" spans="1:41" x14ac:dyDescent="0.25">
      <c r="A38" s="1" t="s">
        <v>94</v>
      </c>
      <c r="C38" s="1" t="s">
        <v>95</v>
      </c>
      <c r="D38" s="1">
        <v>170.088764915084</v>
      </c>
      <c r="E38" s="1">
        <v>-71.648508512232794</v>
      </c>
      <c r="F38" s="1">
        <v>10</v>
      </c>
      <c r="G38" s="1" t="s">
        <v>96</v>
      </c>
      <c r="H38" s="1">
        <v>20</v>
      </c>
      <c r="I38" s="1" t="s">
        <v>44</v>
      </c>
      <c r="J38" s="1" t="s">
        <v>97</v>
      </c>
      <c r="L38" s="1" t="s">
        <v>46</v>
      </c>
      <c r="M38" s="1" t="s">
        <v>47</v>
      </c>
      <c r="N38" s="1" t="s">
        <v>48</v>
      </c>
      <c r="O38" s="1" t="s">
        <v>49</v>
      </c>
      <c r="P38" s="1" t="s">
        <v>50</v>
      </c>
      <c r="S38" s="1">
        <v>54208</v>
      </c>
      <c r="T38" s="1" t="s">
        <v>52</v>
      </c>
      <c r="U38" s="1">
        <v>7</v>
      </c>
      <c r="V38" s="1" t="s">
        <v>148</v>
      </c>
      <c r="W38" s="1" t="s">
        <v>54</v>
      </c>
      <c r="X38" s="1" t="s">
        <v>149</v>
      </c>
      <c r="Y38" s="1" t="s">
        <v>150</v>
      </c>
      <c r="Z38" s="1">
        <v>79059</v>
      </c>
      <c r="AA38" s="14">
        <v>39295</v>
      </c>
      <c r="AM38" s="3">
        <v>40.5</v>
      </c>
      <c r="AN38" s="1">
        <v>2.8</v>
      </c>
      <c r="AO38" s="3">
        <v>1.4</v>
      </c>
    </row>
    <row r="39" spans="1:41" x14ac:dyDescent="0.25">
      <c r="A39" s="1" t="s">
        <v>94</v>
      </c>
      <c r="C39" s="1" t="s">
        <v>95</v>
      </c>
      <c r="D39" s="1">
        <v>170.088764915084</v>
      </c>
      <c r="E39" s="1">
        <v>-71.648508512232794</v>
      </c>
      <c r="F39" s="1">
        <v>10</v>
      </c>
      <c r="G39" s="1" t="s">
        <v>96</v>
      </c>
      <c r="H39" s="1">
        <v>20</v>
      </c>
      <c r="I39" s="1" t="s">
        <v>44</v>
      </c>
      <c r="J39" s="1" t="s">
        <v>97</v>
      </c>
      <c r="L39" s="1" t="s">
        <v>46</v>
      </c>
      <c r="M39" s="1" t="s">
        <v>47</v>
      </c>
      <c r="N39" s="1" t="s">
        <v>48</v>
      </c>
      <c r="O39" s="1" t="s">
        <v>49</v>
      </c>
      <c r="P39" s="1" t="s">
        <v>50</v>
      </c>
      <c r="S39" s="1">
        <v>54209</v>
      </c>
      <c r="T39" s="1" t="s">
        <v>52</v>
      </c>
      <c r="U39" s="1">
        <v>8</v>
      </c>
      <c r="V39" s="1" t="s">
        <v>148</v>
      </c>
      <c r="W39" s="1" t="s">
        <v>54</v>
      </c>
      <c r="X39" s="1" t="s">
        <v>149</v>
      </c>
      <c r="Y39" s="1" t="s">
        <v>150</v>
      </c>
      <c r="Z39" s="1">
        <v>79059</v>
      </c>
      <c r="AA39" s="14">
        <v>39295</v>
      </c>
      <c r="AM39" s="3">
        <v>49.7</v>
      </c>
      <c r="AN39" s="1">
        <v>3.4</v>
      </c>
      <c r="AO39" s="3">
        <v>1.7</v>
      </c>
    </row>
    <row r="40" spans="1:41" x14ac:dyDescent="0.25">
      <c r="A40" s="1" t="s">
        <v>65</v>
      </c>
      <c r="C40" s="1" t="s">
        <v>42</v>
      </c>
      <c r="D40" s="1">
        <v>168.98270159399101</v>
      </c>
      <c r="E40" s="1">
        <v>-71.764835780646294</v>
      </c>
      <c r="F40" s="1">
        <v>10</v>
      </c>
      <c r="G40" s="1" t="s">
        <v>62</v>
      </c>
      <c r="H40" s="1">
        <v>1988</v>
      </c>
      <c r="I40" s="1" t="s">
        <v>44</v>
      </c>
      <c r="J40" s="1" t="s">
        <v>45</v>
      </c>
      <c r="L40" s="1" t="s">
        <v>46</v>
      </c>
      <c r="M40" s="1" t="s">
        <v>47</v>
      </c>
      <c r="N40" s="1" t="s">
        <v>48</v>
      </c>
      <c r="O40" s="1" t="s">
        <v>49</v>
      </c>
      <c r="P40" s="1" t="s">
        <v>50</v>
      </c>
      <c r="Q40" s="1" t="s">
        <v>66</v>
      </c>
      <c r="S40" s="1">
        <v>54210</v>
      </c>
      <c r="T40" s="1" t="s">
        <v>52</v>
      </c>
      <c r="U40" s="1">
        <v>4</v>
      </c>
      <c r="V40" s="1" t="s">
        <v>148</v>
      </c>
      <c r="W40" s="1" t="s">
        <v>54</v>
      </c>
      <c r="X40" s="1" t="s">
        <v>149</v>
      </c>
      <c r="Y40" s="1" t="s">
        <v>150</v>
      </c>
      <c r="Z40" s="1">
        <v>79097</v>
      </c>
      <c r="AA40" s="14">
        <v>39295</v>
      </c>
      <c r="AM40" s="3">
        <v>188.7</v>
      </c>
      <c r="AN40" s="1">
        <v>15.8</v>
      </c>
      <c r="AO40" s="3">
        <v>7.9</v>
      </c>
    </row>
    <row r="41" spans="1:41" x14ac:dyDescent="0.25">
      <c r="A41" s="1" t="s">
        <v>99</v>
      </c>
      <c r="C41" s="1" t="s">
        <v>42</v>
      </c>
      <c r="D41" s="1">
        <v>169.53760008777101</v>
      </c>
      <c r="E41" s="1">
        <v>-71.918605710908494</v>
      </c>
      <c r="F41" s="1">
        <v>10</v>
      </c>
      <c r="G41" s="1" t="s">
        <v>100</v>
      </c>
      <c r="H41" s="1">
        <v>3533</v>
      </c>
      <c r="I41" s="1" t="s">
        <v>44</v>
      </c>
      <c r="J41" s="1" t="s">
        <v>45</v>
      </c>
      <c r="L41" s="1" t="s">
        <v>46</v>
      </c>
      <c r="M41" s="1" t="s">
        <v>47</v>
      </c>
      <c r="N41" s="1" t="s">
        <v>48</v>
      </c>
      <c r="O41" s="1" t="s">
        <v>49</v>
      </c>
      <c r="P41" s="1" t="s">
        <v>50</v>
      </c>
      <c r="Q41" s="1" t="s">
        <v>101</v>
      </c>
      <c r="S41" s="1">
        <v>54211</v>
      </c>
      <c r="T41" s="1" t="s">
        <v>52</v>
      </c>
      <c r="U41" s="1">
        <v>1</v>
      </c>
      <c r="V41" s="1" t="s">
        <v>148</v>
      </c>
      <c r="W41" s="1" t="s">
        <v>54</v>
      </c>
      <c r="X41" s="1" t="s">
        <v>149</v>
      </c>
      <c r="Y41" s="1" t="s">
        <v>150</v>
      </c>
      <c r="Z41" s="1">
        <v>79098</v>
      </c>
      <c r="AA41" s="14">
        <v>39295</v>
      </c>
      <c r="AM41" s="3">
        <v>47.8</v>
      </c>
      <c r="AN41" s="1">
        <v>3.8</v>
      </c>
      <c r="AO41" s="3">
        <v>1.9</v>
      </c>
    </row>
    <row r="42" spans="1:41" x14ac:dyDescent="0.25">
      <c r="A42" s="1" t="s">
        <v>99</v>
      </c>
      <c r="C42" s="1" t="s">
        <v>42</v>
      </c>
      <c r="D42" s="1">
        <v>169.53760008777101</v>
      </c>
      <c r="E42" s="1">
        <v>-71.918605710908494</v>
      </c>
      <c r="F42" s="1">
        <v>10</v>
      </c>
      <c r="G42" s="1" t="s">
        <v>100</v>
      </c>
      <c r="H42" s="1">
        <v>3533</v>
      </c>
      <c r="I42" s="1" t="s">
        <v>44</v>
      </c>
      <c r="J42" s="1" t="s">
        <v>45</v>
      </c>
      <c r="L42" s="1" t="s">
        <v>46</v>
      </c>
      <c r="M42" s="1" t="s">
        <v>47</v>
      </c>
      <c r="N42" s="1" t="s">
        <v>48</v>
      </c>
      <c r="O42" s="1" t="s">
        <v>49</v>
      </c>
      <c r="P42" s="1" t="s">
        <v>50</v>
      </c>
      <c r="Q42" s="1" t="s">
        <v>101</v>
      </c>
      <c r="S42" s="1">
        <v>54212</v>
      </c>
      <c r="T42" s="1" t="s">
        <v>52</v>
      </c>
      <c r="U42" s="1">
        <v>2</v>
      </c>
      <c r="V42" s="1" t="s">
        <v>148</v>
      </c>
      <c r="W42" s="1" t="s">
        <v>54</v>
      </c>
      <c r="X42" s="1" t="s">
        <v>149</v>
      </c>
      <c r="Y42" s="1" t="s">
        <v>150</v>
      </c>
      <c r="Z42" s="1">
        <v>79098</v>
      </c>
      <c r="AA42" s="14">
        <v>39295</v>
      </c>
      <c r="AM42" s="3">
        <v>65.400000000000006</v>
      </c>
      <c r="AN42" s="1">
        <v>3.6</v>
      </c>
      <c r="AO42" s="3">
        <v>1.8</v>
      </c>
    </row>
    <row r="43" spans="1:41" x14ac:dyDescent="0.25">
      <c r="A43" s="1" t="s">
        <v>99</v>
      </c>
      <c r="C43" s="1" t="s">
        <v>42</v>
      </c>
      <c r="D43" s="1">
        <v>169.53760008777101</v>
      </c>
      <c r="E43" s="1">
        <v>-71.918605710908494</v>
      </c>
      <c r="F43" s="1">
        <v>10</v>
      </c>
      <c r="G43" s="1" t="s">
        <v>100</v>
      </c>
      <c r="H43" s="1">
        <v>3533</v>
      </c>
      <c r="I43" s="1" t="s">
        <v>44</v>
      </c>
      <c r="J43" s="1" t="s">
        <v>45</v>
      </c>
      <c r="L43" s="1" t="s">
        <v>46</v>
      </c>
      <c r="M43" s="1" t="s">
        <v>47</v>
      </c>
      <c r="N43" s="1" t="s">
        <v>48</v>
      </c>
      <c r="O43" s="1" t="s">
        <v>49</v>
      </c>
      <c r="P43" s="1" t="s">
        <v>50</v>
      </c>
      <c r="Q43" s="1" t="s">
        <v>101</v>
      </c>
      <c r="S43" s="1">
        <v>54213</v>
      </c>
      <c r="T43" s="1" t="s">
        <v>52</v>
      </c>
      <c r="U43" s="1">
        <v>3</v>
      </c>
      <c r="V43" s="1" t="s">
        <v>148</v>
      </c>
      <c r="W43" s="1" t="s">
        <v>54</v>
      </c>
      <c r="X43" s="1" t="s">
        <v>149</v>
      </c>
      <c r="Y43" s="1" t="s">
        <v>150</v>
      </c>
      <c r="Z43" s="1">
        <v>79098</v>
      </c>
      <c r="AA43" s="14">
        <v>39295</v>
      </c>
      <c r="AM43" s="3">
        <v>73.900000000000006</v>
      </c>
      <c r="AN43" s="1">
        <v>4</v>
      </c>
      <c r="AO43" s="3">
        <v>2</v>
      </c>
    </row>
    <row r="44" spans="1:41" x14ac:dyDescent="0.25">
      <c r="A44" s="1" t="s">
        <v>99</v>
      </c>
      <c r="C44" s="1" t="s">
        <v>42</v>
      </c>
      <c r="D44" s="1">
        <v>169.53760008777101</v>
      </c>
      <c r="E44" s="1">
        <v>-71.918605710908494</v>
      </c>
      <c r="F44" s="1">
        <v>10</v>
      </c>
      <c r="G44" s="1" t="s">
        <v>100</v>
      </c>
      <c r="H44" s="1">
        <v>3533</v>
      </c>
      <c r="I44" s="1" t="s">
        <v>44</v>
      </c>
      <c r="J44" s="1" t="s">
        <v>45</v>
      </c>
      <c r="L44" s="1" t="s">
        <v>46</v>
      </c>
      <c r="M44" s="1" t="s">
        <v>47</v>
      </c>
      <c r="N44" s="1" t="s">
        <v>48</v>
      </c>
      <c r="O44" s="1" t="s">
        <v>49</v>
      </c>
      <c r="P44" s="1" t="s">
        <v>50</v>
      </c>
      <c r="Q44" s="1" t="s">
        <v>101</v>
      </c>
      <c r="S44" s="1">
        <v>54214</v>
      </c>
      <c r="T44" s="1" t="s">
        <v>52</v>
      </c>
      <c r="U44" s="1">
        <v>4</v>
      </c>
      <c r="V44" s="1" t="s">
        <v>148</v>
      </c>
      <c r="W44" s="1" t="s">
        <v>54</v>
      </c>
      <c r="X44" s="1" t="s">
        <v>149</v>
      </c>
      <c r="Y44" s="1" t="s">
        <v>150</v>
      </c>
      <c r="Z44" s="1">
        <v>79098</v>
      </c>
      <c r="AA44" s="14">
        <v>39295</v>
      </c>
      <c r="AM44" s="3">
        <v>47.6</v>
      </c>
      <c r="AN44" s="1">
        <v>3.2</v>
      </c>
      <c r="AO44" s="3">
        <v>1.6</v>
      </c>
    </row>
    <row r="45" spans="1:41" x14ac:dyDescent="0.25">
      <c r="A45" s="1" t="s">
        <v>99</v>
      </c>
      <c r="C45" s="1" t="s">
        <v>42</v>
      </c>
      <c r="D45" s="1">
        <v>169.53760008777101</v>
      </c>
      <c r="E45" s="1">
        <v>-71.918605710908494</v>
      </c>
      <c r="F45" s="1">
        <v>10</v>
      </c>
      <c r="G45" s="1" t="s">
        <v>100</v>
      </c>
      <c r="H45" s="1">
        <v>3533</v>
      </c>
      <c r="I45" s="1" t="s">
        <v>44</v>
      </c>
      <c r="J45" s="1" t="s">
        <v>45</v>
      </c>
      <c r="L45" s="1" t="s">
        <v>46</v>
      </c>
      <c r="M45" s="1" t="s">
        <v>47</v>
      </c>
      <c r="N45" s="1" t="s">
        <v>48</v>
      </c>
      <c r="O45" s="1" t="s">
        <v>49</v>
      </c>
      <c r="P45" s="1" t="s">
        <v>50</v>
      </c>
      <c r="Q45" s="1" t="s">
        <v>101</v>
      </c>
      <c r="S45" s="1">
        <v>54215</v>
      </c>
      <c r="T45" s="1" t="s">
        <v>52</v>
      </c>
      <c r="U45" s="1">
        <v>5</v>
      </c>
      <c r="V45" s="1" t="s">
        <v>148</v>
      </c>
      <c r="W45" s="1" t="s">
        <v>54</v>
      </c>
      <c r="X45" s="1" t="s">
        <v>149</v>
      </c>
      <c r="Y45" s="1" t="s">
        <v>150</v>
      </c>
      <c r="Z45" s="1">
        <v>79098</v>
      </c>
      <c r="AA45" s="14">
        <v>39295</v>
      </c>
      <c r="AM45" s="3">
        <v>72.5</v>
      </c>
      <c r="AN45" s="1">
        <v>5.6</v>
      </c>
      <c r="AO45" s="3">
        <v>2.8</v>
      </c>
    </row>
    <row r="46" spans="1:41" x14ac:dyDescent="0.25">
      <c r="A46" s="1" t="s">
        <v>99</v>
      </c>
      <c r="C46" s="1" t="s">
        <v>42</v>
      </c>
      <c r="D46" s="1">
        <v>169.53760008777101</v>
      </c>
      <c r="E46" s="1">
        <v>-71.918605710908494</v>
      </c>
      <c r="F46" s="1">
        <v>10</v>
      </c>
      <c r="G46" s="1" t="s">
        <v>100</v>
      </c>
      <c r="H46" s="1">
        <v>3533</v>
      </c>
      <c r="I46" s="1" t="s">
        <v>44</v>
      </c>
      <c r="J46" s="1" t="s">
        <v>45</v>
      </c>
      <c r="L46" s="1" t="s">
        <v>46</v>
      </c>
      <c r="M46" s="1" t="s">
        <v>47</v>
      </c>
      <c r="N46" s="1" t="s">
        <v>48</v>
      </c>
      <c r="O46" s="1" t="s">
        <v>49</v>
      </c>
      <c r="P46" s="1" t="s">
        <v>50</v>
      </c>
      <c r="Q46" s="1" t="s">
        <v>101</v>
      </c>
      <c r="S46" s="1">
        <v>54216</v>
      </c>
      <c r="T46" s="1" t="s">
        <v>52</v>
      </c>
      <c r="U46" s="1">
        <v>9</v>
      </c>
      <c r="V46" s="1" t="s">
        <v>148</v>
      </c>
      <c r="W46" s="1" t="s">
        <v>54</v>
      </c>
      <c r="X46" s="1" t="s">
        <v>149</v>
      </c>
      <c r="Y46" s="1" t="s">
        <v>150</v>
      </c>
      <c r="Z46" s="1">
        <v>79098</v>
      </c>
      <c r="AA46" s="14">
        <v>39295</v>
      </c>
      <c r="AM46" s="3">
        <v>52</v>
      </c>
      <c r="AN46" s="1">
        <v>3.2</v>
      </c>
      <c r="AO46" s="3">
        <v>1.6</v>
      </c>
    </row>
    <row r="47" spans="1:41" x14ac:dyDescent="0.25">
      <c r="A47" s="1" t="s">
        <v>103</v>
      </c>
      <c r="C47" s="1" t="s">
        <v>42</v>
      </c>
      <c r="D47" s="1">
        <v>169.630435942312</v>
      </c>
      <c r="E47" s="1">
        <v>-71.877447633191593</v>
      </c>
      <c r="F47" s="1">
        <v>10</v>
      </c>
      <c r="G47" s="1" t="s">
        <v>100</v>
      </c>
      <c r="H47" s="1">
        <v>2588</v>
      </c>
      <c r="I47" s="1" t="s">
        <v>44</v>
      </c>
      <c r="J47" s="1" t="s">
        <v>45</v>
      </c>
      <c r="L47" s="1" t="s">
        <v>46</v>
      </c>
      <c r="M47" s="1" t="s">
        <v>47</v>
      </c>
      <c r="N47" s="1" t="s">
        <v>48</v>
      </c>
      <c r="O47" s="1" t="s">
        <v>49</v>
      </c>
      <c r="P47" s="1" t="s">
        <v>50</v>
      </c>
      <c r="Q47" s="1" t="s">
        <v>104</v>
      </c>
      <c r="S47" s="1">
        <v>54217</v>
      </c>
      <c r="T47" s="1" t="s">
        <v>52</v>
      </c>
      <c r="U47" s="1">
        <v>2</v>
      </c>
      <c r="V47" s="1" t="s">
        <v>148</v>
      </c>
      <c r="W47" s="1" t="s">
        <v>54</v>
      </c>
      <c r="X47" s="1" t="s">
        <v>149</v>
      </c>
      <c r="Y47" s="1" t="s">
        <v>150</v>
      </c>
      <c r="Z47" s="1">
        <v>79099</v>
      </c>
      <c r="AA47" s="14">
        <v>39295</v>
      </c>
      <c r="AM47" s="3">
        <v>1685.6</v>
      </c>
      <c r="AN47" s="1">
        <v>178.4</v>
      </c>
      <c r="AO47" s="3">
        <v>89.2</v>
      </c>
    </row>
    <row r="48" spans="1:41" x14ac:dyDescent="0.25">
      <c r="A48" s="1" t="s">
        <v>103</v>
      </c>
      <c r="C48" s="1" t="s">
        <v>42</v>
      </c>
      <c r="D48" s="1">
        <v>169.630435942312</v>
      </c>
      <c r="E48" s="1">
        <v>-71.877447633191593</v>
      </c>
      <c r="F48" s="1">
        <v>10</v>
      </c>
      <c r="G48" s="1" t="s">
        <v>100</v>
      </c>
      <c r="H48" s="1">
        <v>2588</v>
      </c>
      <c r="I48" s="1" t="s">
        <v>44</v>
      </c>
      <c r="J48" s="1" t="s">
        <v>45</v>
      </c>
      <c r="L48" s="1" t="s">
        <v>46</v>
      </c>
      <c r="M48" s="1" t="s">
        <v>47</v>
      </c>
      <c r="N48" s="1" t="s">
        <v>48</v>
      </c>
      <c r="O48" s="1" t="s">
        <v>49</v>
      </c>
      <c r="P48" s="1" t="s">
        <v>50</v>
      </c>
      <c r="Q48" s="1" t="s">
        <v>104</v>
      </c>
      <c r="S48" s="1">
        <v>54218</v>
      </c>
      <c r="T48" s="1" t="s">
        <v>52</v>
      </c>
      <c r="U48" s="1">
        <v>6</v>
      </c>
      <c r="V48" s="1" t="s">
        <v>148</v>
      </c>
      <c r="W48" s="1" t="s">
        <v>54</v>
      </c>
      <c r="X48" s="1" t="s">
        <v>149</v>
      </c>
      <c r="Y48" s="1" t="s">
        <v>150</v>
      </c>
      <c r="Z48" s="1">
        <v>79099</v>
      </c>
      <c r="AA48" s="14">
        <v>39295</v>
      </c>
      <c r="AM48" s="3">
        <v>59.2</v>
      </c>
      <c r="AN48" s="1">
        <v>2.4</v>
      </c>
      <c r="AO48" s="3">
        <v>1.2</v>
      </c>
    </row>
    <row r="49" spans="1:41" x14ac:dyDescent="0.25">
      <c r="A49" s="1" t="s">
        <v>103</v>
      </c>
      <c r="C49" s="1" t="s">
        <v>42</v>
      </c>
      <c r="D49" s="1">
        <v>169.630435942312</v>
      </c>
      <c r="E49" s="1">
        <v>-71.877447633191593</v>
      </c>
      <c r="F49" s="1">
        <v>10</v>
      </c>
      <c r="G49" s="1" t="s">
        <v>100</v>
      </c>
      <c r="H49" s="1">
        <v>2588</v>
      </c>
      <c r="I49" s="1" t="s">
        <v>44</v>
      </c>
      <c r="J49" s="1" t="s">
        <v>45</v>
      </c>
      <c r="L49" s="1" t="s">
        <v>46</v>
      </c>
      <c r="M49" s="1" t="s">
        <v>47</v>
      </c>
      <c r="N49" s="1" t="s">
        <v>48</v>
      </c>
      <c r="O49" s="1" t="s">
        <v>49</v>
      </c>
      <c r="P49" s="1" t="s">
        <v>50</v>
      </c>
      <c r="Q49" s="1" t="s">
        <v>104</v>
      </c>
      <c r="S49" s="1">
        <v>54219</v>
      </c>
      <c r="T49" s="1" t="s">
        <v>52</v>
      </c>
      <c r="U49" s="1">
        <v>7</v>
      </c>
      <c r="V49" s="1" t="s">
        <v>148</v>
      </c>
      <c r="W49" s="1" t="s">
        <v>54</v>
      </c>
      <c r="X49" s="1" t="s">
        <v>149</v>
      </c>
      <c r="Y49" s="1" t="s">
        <v>150</v>
      </c>
      <c r="Z49" s="1">
        <v>79099</v>
      </c>
      <c r="AA49" s="14">
        <v>39295</v>
      </c>
      <c r="AM49" s="3">
        <v>92.6</v>
      </c>
      <c r="AN49" s="1">
        <v>4.5999999999999996</v>
      </c>
      <c r="AO49" s="3">
        <v>2.2999999999999998</v>
      </c>
    </row>
    <row r="50" spans="1:41" x14ac:dyDescent="0.25">
      <c r="A50" s="1" t="s">
        <v>103</v>
      </c>
      <c r="C50" s="1" t="s">
        <v>42</v>
      </c>
      <c r="D50" s="1">
        <v>169.630435942312</v>
      </c>
      <c r="E50" s="1">
        <v>-71.877447633191593</v>
      </c>
      <c r="F50" s="1">
        <v>10</v>
      </c>
      <c r="G50" s="1" t="s">
        <v>100</v>
      </c>
      <c r="H50" s="1">
        <v>2588</v>
      </c>
      <c r="I50" s="1" t="s">
        <v>44</v>
      </c>
      <c r="J50" s="1" t="s">
        <v>45</v>
      </c>
      <c r="L50" s="1" t="s">
        <v>46</v>
      </c>
      <c r="M50" s="1" t="s">
        <v>47</v>
      </c>
      <c r="N50" s="1" t="s">
        <v>48</v>
      </c>
      <c r="O50" s="1" t="s">
        <v>49</v>
      </c>
      <c r="P50" s="1" t="s">
        <v>50</v>
      </c>
      <c r="Q50" s="1" t="s">
        <v>104</v>
      </c>
      <c r="S50" s="1">
        <v>54220</v>
      </c>
      <c r="T50" s="1" t="s">
        <v>52</v>
      </c>
      <c r="U50" s="1">
        <v>8</v>
      </c>
      <c r="V50" s="1" t="s">
        <v>148</v>
      </c>
      <c r="W50" s="1" t="s">
        <v>54</v>
      </c>
      <c r="X50" s="1" t="s">
        <v>149</v>
      </c>
      <c r="Y50" s="1" t="s">
        <v>150</v>
      </c>
      <c r="Z50" s="1">
        <v>79099</v>
      </c>
      <c r="AA50" s="14">
        <v>39295</v>
      </c>
      <c r="AM50" s="3">
        <v>96.8</v>
      </c>
      <c r="AN50" s="1">
        <v>24</v>
      </c>
      <c r="AO50" s="3">
        <v>12</v>
      </c>
    </row>
    <row r="51" spans="1:41" x14ac:dyDescent="0.25">
      <c r="A51" s="1" t="s">
        <v>103</v>
      </c>
      <c r="C51" s="1" t="s">
        <v>42</v>
      </c>
      <c r="D51" s="1">
        <v>169.630435942312</v>
      </c>
      <c r="E51" s="1">
        <v>-71.877447633191593</v>
      </c>
      <c r="F51" s="1">
        <v>10</v>
      </c>
      <c r="G51" s="1" t="s">
        <v>100</v>
      </c>
      <c r="H51" s="1">
        <v>2588</v>
      </c>
      <c r="I51" s="1" t="s">
        <v>44</v>
      </c>
      <c r="J51" s="1" t="s">
        <v>45</v>
      </c>
      <c r="L51" s="1" t="s">
        <v>46</v>
      </c>
      <c r="M51" s="1" t="s">
        <v>47</v>
      </c>
      <c r="N51" s="1" t="s">
        <v>48</v>
      </c>
      <c r="O51" s="1" t="s">
        <v>49</v>
      </c>
      <c r="P51" s="1" t="s">
        <v>50</v>
      </c>
      <c r="Q51" s="1" t="s">
        <v>104</v>
      </c>
      <c r="S51" s="1">
        <v>54221</v>
      </c>
      <c r="T51" s="1" t="s">
        <v>52</v>
      </c>
      <c r="U51" s="1">
        <v>10</v>
      </c>
      <c r="V51" s="1" t="s">
        <v>148</v>
      </c>
      <c r="W51" s="1" t="s">
        <v>54</v>
      </c>
      <c r="X51" s="1" t="s">
        <v>149</v>
      </c>
      <c r="Y51" s="1" t="s">
        <v>150</v>
      </c>
      <c r="Z51" s="1">
        <v>79099</v>
      </c>
      <c r="AA51" s="14">
        <v>39295</v>
      </c>
      <c r="AM51" s="3">
        <v>44.6</v>
      </c>
      <c r="AN51" s="1">
        <v>1.4</v>
      </c>
      <c r="AO51" s="3">
        <v>0.7</v>
      </c>
    </row>
    <row r="52" spans="1:41" x14ac:dyDescent="0.25">
      <c r="A52" s="1" t="s">
        <v>103</v>
      </c>
      <c r="C52" s="1" t="s">
        <v>42</v>
      </c>
      <c r="D52" s="1">
        <v>169.630435942312</v>
      </c>
      <c r="E52" s="1">
        <v>-71.877447633191593</v>
      </c>
      <c r="F52" s="1">
        <v>10</v>
      </c>
      <c r="G52" s="1" t="s">
        <v>100</v>
      </c>
      <c r="H52" s="1">
        <v>2588</v>
      </c>
      <c r="I52" s="1" t="s">
        <v>44</v>
      </c>
      <c r="J52" s="1" t="s">
        <v>45</v>
      </c>
      <c r="L52" s="1" t="s">
        <v>46</v>
      </c>
      <c r="M52" s="1" t="s">
        <v>47</v>
      </c>
      <c r="N52" s="1" t="s">
        <v>48</v>
      </c>
      <c r="O52" s="1" t="s">
        <v>49</v>
      </c>
      <c r="P52" s="1" t="s">
        <v>50</v>
      </c>
      <c r="Q52" s="1" t="s">
        <v>104</v>
      </c>
      <c r="S52" s="1">
        <v>54222</v>
      </c>
      <c r="T52" s="1" t="s">
        <v>52</v>
      </c>
      <c r="U52" s="1">
        <v>11</v>
      </c>
      <c r="V52" s="1" t="s">
        <v>148</v>
      </c>
      <c r="W52" s="1" t="s">
        <v>54</v>
      </c>
      <c r="X52" s="1" t="s">
        <v>149</v>
      </c>
      <c r="Y52" s="1" t="s">
        <v>150</v>
      </c>
      <c r="Z52" s="1">
        <v>79099</v>
      </c>
      <c r="AA52" s="14">
        <v>39295</v>
      </c>
      <c r="AM52" s="3">
        <v>41.5</v>
      </c>
      <c r="AN52" s="1">
        <v>1.6</v>
      </c>
      <c r="AO52" s="3">
        <v>0.8</v>
      </c>
    </row>
    <row r="53" spans="1:41" x14ac:dyDescent="0.25">
      <c r="A53" s="1" t="s">
        <v>103</v>
      </c>
      <c r="C53" s="1" t="s">
        <v>42</v>
      </c>
      <c r="D53" s="1">
        <v>169.630435942312</v>
      </c>
      <c r="E53" s="1">
        <v>-71.877447633191593</v>
      </c>
      <c r="F53" s="1">
        <v>10</v>
      </c>
      <c r="G53" s="1" t="s">
        <v>100</v>
      </c>
      <c r="H53" s="1">
        <v>2588</v>
      </c>
      <c r="I53" s="1" t="s">
        <v>44</v>
      </c>
      <c r="J53" s="1" t="s">
        <v>45</v>
      </c>
      <c r="L53" s="1" t="s">
        <v>46</v>
      </c>
      <c r="M53" s="1" t="s">
        <v>47</v>
      </c>
      <c r="N53" s="1" t="s">
        <v>48</v>
      </c>
      <c r="O53" s="1" t="s">
        <v>49</v>
      </c>
      <c r="P53" s="1" t="s">
        <v>50</v>
      </c>
      <c r="Q53" s="1" t="s">
        <v>104</v>
      </c>
      <c r="S53" s="1">
        <v>54223</v>
      </c>
      <c r="T53" s="1" t="s">
        <v>52</v>
      </c>
      <c r="U53" s="1">
        <v>12</v>
      </c>
      <c r="V53" s="1" t="s">
        <v>148</v>
      </c>
      <c r="W53" s="1" t="s">
        <v>54</v>
      </c>
      <c r="X53" s="1" t="s">
        <v>149</v>
      </c>
      <c r="Y53" s="1" t="s">
        <v>150</v>
      </c>
      <c r="Z53" s="1">
        <v>79099</v>
      </c>
      <c r="AA53" s="14">
        <v>39295</v>
      </c>
      <c r="AM53" s="3">
        <v>45.8</v>
      </c>
      <c r="AN53" s="1">
        <v>2.2000000000000002</v>
      </c>
      <c r="AO53" s="3">
        <v>1.1000000000000001</v>
      </c>
    </row>
    <row r="54" spans="1:41" x14ac:dyDescent="0.25">
      <c r="A54" s="1" t="s">
        <v>106</v>
      </c>
      <c r="C54" s="1" t="s">
        <v>42</v>
      </c>
      <c r="D54" s="1">
        <v>169.62828552819599</v>
      </c>
      <c r="E54" s="1">
        <v>-71.862808428426206</v>
      </c>
      <c r="F54" s="1">
        <v>10</v>
      </c>
      <c r="G54" s="1" t="s">
        <v>100</v>
      </c>
      <c r="H54" s="1">
        <v>2161</v>
      </c>
      <c r="I54" s="1" t="s">
        <v>44</v>
      </c>
      <c r="J54" s="1" t="s">
        <v>45</v>
      </c>
      <c r="L54" s="1" t="s">
        <v>46</v>
      </c>
      <c r="M54" s="1" t="s">
        <v>47</v>
      </c>
      <c r="N54" s="1" t="s">
        <v>48</v>
      </c>
      <c r="O54" s="1" t="s">
        <v>49</v>
      </c>
      <c r="P54" s="1" t="s">
        <v>50</v>
      </c>
      <c r="Q54" s="1" t="s">
        <v>107</v>
      </c>
      <c r="S54" s="1">
        <v>54224</v>
      </c>
      <c r="T54" s="1" t="s">
        <v>52</v>
      </c>
      <c r="U54" s="1">
        <v>1</v>
      </c>
      <c r="V54" s="1" t="s">
        <v>148</v>
      </c>
      <c r="W54" s="1" t="s">
        <v>54</v>
      </c>
      <c r="X54" s="1" t="s">
        <v>149</v>
      </c>
      <c r="Y54" s="1" t="s">
        <v>150</v>
      </c>
      <c r="Z54" s="1">
        <v>79100</v>
      </c>
      <c r="AA54" s="14">
        <v>39295</v>
      </c>
      <c r="AM54" s="3">
        <v>61.7</v>
      </c>
      <c r="AN54" s="1">
        <v>12.8</v>
      </c>
      <c r="AO54" s="3">
        <v>6.4</v>
      </c>
    </row>
    <row r="55" spans="1:41" x14ac:dyDescent="0.25">
      <c r="A55" s="1" t="s">
        <v>106</v>
      </c>
      <c r="C55" s="1" t="s">
        <v>42</v>
      </c>
      <c r="D55" s="1">
        <v>169.62828552819599</v>
      </c>
      <c r="E55" s="1">
        <v>-71.862808428426206</v>
      </c>
      <c r="F55" s="1">
        <v>10</v>
      </c>
      <c r="G55" s="1" t="s">
        <v>100</v>
      </c>
      <c r="H55" s="1">
        <v>2161</v>
      </c>
      <c r="I55" s="1" t="s">
        <v>44</v>
      </c>
      <c r="J55" s="1" t="s">
        <v>45</v>
      </c>
      <c r="L55" s="1" t="s">
        <v>46</v>
      </c>
      <c r="M55" s="1" t="s">
        <v>47</v>
      </c>
      <c r="N55" s="1" t="s">
        <v>48</v>
      </c>
      <c r="O55" s="1" t="s">
        <v>49</v>
      </c>
      <c r="P55" s="1" t="s">
        <v>50</v>
      </c>
      <c r="Q55" s="1" t="s">
        <v>107</v>
      </c>
      <c r="S55" s="1">
        <v>54225</v>
      </c>
      <c r="T55" s="1" t="s">
        <v>52</v>
      </c>
      <c r="U55" s="1">
        <v>2</v>
      </c>
      <c r="V55" s="1" t="s">
        <v>148</v>
      </c>
      <c r="W55" s="1" t="s">
        <v>54</v>
      </c>
      <c r="X55" s="1" t="s">
        <v>149</v>
      </c>
      <c r="Y55" s="1" t="s">
        <v>150</v>
      </c>
      <c r="Z55" s="1">
        <v>79100</v>
      </c>
      <c r="AA55" s="14">
        <v>39295</v>
      </c>
      <c r="AM55" s="3">
        <v>47.3</v>
      </c>
      <c r="AN55" s="1">
        <v>2.6</v>
      </c>
      <c r="AO55" s="3">
        <v>1.3</v>
      </c>
    </row>
    <row r="56" spans="1:41" x14ac:dyDescent="0.25">
      <c r="A56" s="1" t="s">
        <v>106</v>
      </c>
      <c r="C56" s="1" t="s">
        <v>42</v>
      </c>
      <c r="D56" s="1">
        <v>169.62828552819599</v>
      </c>
      <c r="E56" s="1">
        <v>-71.862808428426206</v>
      </c>
      <c r="F56" s="1">
        <v>10</v>
      </c>
      <c r="G56" s="1" t="s">
        <v>100</v>
      </c>
      <c r="H56" s="1">
        <v>2161</v>
      </c>
      <c r="I56" s="1" t="s">
        <v>44</v>
      </c>
      <c r="J56" s="1" t="s">
        <v>45</v>
      </c>
      <c r="L56" s="1" t="s">
        <v>46</v>
      </c>
      <c r="M56" s="1" t="s">
        <v>47</v>
      </c>
      <c r="N56" s="1" t="s">
        <v>48</v>
      </c>
      <c r="O56" s="1" t="s">
        <v>49</v>
      </c>
      <c r="P56" s="1" t="s">
        <v>50</v>
      </c>
      <c r="Q56" s="1" t="s">
        <v>107</v>
      </c>
      <c r="S56" s="1">
        <v>54226</v>
      </c>
      <c r="T56" s="1" t="s">
        <v>52</v>
      </c>
      <c r="U56" s="1">
        <v>3</v>
      </c>
      <c r="V56" s="1" t="s">
        <v>148</v>
      </c>
      <c r="W56" s="1" t="s">
        <v>54</v>
      </c>
      <c r="X56" s="1" t="s">
        <v>149</v>
      </c>
      <c r="Y56" s="1" t="s">
        <v>150</v>
      </c>
      <c r="Z56" s="1">
        <v>79100</v>
      </c>
      <c r="AA56" s="14">
        <v>39295</v>
      </c>
      <c r="AM56" s="3">
        <v>43</v>
      </c>
      <c r="AN56" s="1">
        <v>3</v>
      </c>
      <c r="AO56" s="3">
        <v>1.5</v>
      </c>
    </row>
    <row r="57" spans="1:41" x14ac:dyDescent="0.25">
      <c r="A57" s="1" t="s">
        <v>109</v>
      </c>
      <c r="C57" s="1" t="s">
        <v>42</v>
      </c>
      <c r="D57" s="1">
        <v>169.86380726231201</v>
      </c>
      <c r="E57" s="1">
        <v>-71.825949670516906</v>
      </c>
      <c r="F57" s="1">
        <v>10</v>
      </c>
      <c r="G57" s="1" t="s">
        <v>110</v>
      </c>
      <c r="H57" s="1">
        <v>2312</v>
      </c>
      <c r="I57" s="1" t="s">
        <v>44</v>
      </c>
      <c r="J57" s="1" t="s">
        <v>111</v>
      </c>
      <c r="L57" s="1" t="s">
        <v>112</v>
      </c>
      <c r="M57" s="1" t="s">
        <v>113</v>
      </c>
      <c r="N57" s="1" t="s">
        <v>114</v>
      </c>
      <c r="O57" s="1" t="s">
        <v>115</v>
      </c>
      <c r="P57" s="1" t="s">
        <v>50</v>
      </c>
      <c r="Q57" s="1" t="s">
        <v>116</v>
      </c>
      <c r="S57" s="1">
        <v>54227</v>
      </c>
      <c r="T57" s="1" t="s">
        <v>52</v>
      </c>
      <c r="U57" s="1">
        <v>1</v>
      </c>
      <c r="V57" s="1" t="s">
        <v>148</v>
      </c>
      <c r="W57" s="1" t="s">
        <v>54</v>
      </c>
      <c r="X57" s="1" t="s">
        <v>149</v>
      </c>
      <c r="Y57" s="1" t="s">
        <v>150</v>
      </c>
      <c r="Z57" s="1">
        <v>79106</v>
      </c>
      <c r="AA57" s="14">
        <v>39295</v>
      </c>
      <c r="AM57" s="3">
        <v>48.7</v>
      </c>
      <c r="AN57" s="1">
        <v>8.8000000000000007</v>
      </c>
      <c r="AO57" s="3">
        <v>4.4000000000000004</v>
      </c>
    </row>
    <row r="58" spans="1:41" x14ac:dyDescent="0.25">
      <c r="A58" s="1" t="s">
        <v>109</v>
      </c>
      <c r="C58" s="1" t="s">
        <v>42</v>
      </c>
      <c r="D58" s="1">
        <v>169.86380726231201</v>
      </c>
      <c r="E58" s="1">
        <v>-71.825949670516906</v>
      </c>
      <c r="F58" s="1">
        <v>10</v>
      </c>
      <c r="G58" s="1" t="s">
        <v>110</v>
      </c>
      <c r="H58" s="1">
        <v>2312</v>
      </c>
      <c r="I58" s="1" t="s">
        <v>44</v>
      </c>
      <c r="J58" s="1" t="s">
        <v>111</v>
      </c>
      <c r="L58" s="1" t="s">
        <v>112</v>
      </c>
      <c r="M58" s="1" t="s">
        <v>113</v>
      </c>
      <c r="N58" s="1" t="s">
        <v>114</v>
      </c>
      <c r="O58" s="1" t="s">
        <v>115</v>
      </c>
      <c r="P58" s="1" t="s">
        <v>50</v>
      </c>
      <c r="Q58" s="1" t="s">
        <v>116</v>
      </c>
      <c r="S58" s="1">
        <v>54228</v>
      </c>
      <c r="T58" s="1" t="s">
        <v>52</v>
      </c>
      <c r="U58" s="1">
        <v>2</v>
      </c>
      <c r="V58" s="1" t="s">
        <v>148</v>
      </c>
      <c r="W58" s="1" t="s">
        <v>54</v>
      </c>
      <c r="X58" s="1" t="s">
        <v>149</v>
      </c>
      <c r="Y58" s="1" t="s">
        <v>150</v>
      </c>
      <c r="Z58" s="1">
        <v>79106</v>
      </c>
      <c r="AA58" s="14">
        <v>39295</v>
      </c>
      <c r="AM58" s="3">
        <v>44.6</v>
      </c>
      <c r="AN58" s="1">
        <v>8.1999999999999993</v>
      </c>
      <c r="AO58" s="3">
        <v>4.0999999999999996</v>
      </c>
    </row>
    <row r="59" spans="1:41" x14ac:dyDescent="0.25">
      <c r="A59" s="1" t="s">
        <v>109</v>
      </c>
      <c r="C59" s="1" t="s">
        <v>42</v>
      </c>
      <c r="D59" s="1">
        <v>169.86380726231201</v>
      </c>
      <c r="E59" s="1">
        <v>-71.825949670516906</v>
      </c>
      <c r="F59" s="1">
        <v>10</v>
      </c>
      <c r="G59" s="1" t="s">
        <v>110</v>
      </c>
      <c r="H59" s="1">
        <v>2312</v>
      </c>
      <c r="I59" s="1" t="s">
        <v>44</v>
      </c>
      <c r="J59" s="1" t="s">
        <v>111</v>
      </c>
      <c r="L59" s="1" t="s">
        <v>112</v>
      </c>
      <c r="M59" s="1" t="s">
        <v>113</v>
      </c>
      <c r="N59" s="1" t="s">
        <v>114</v>
      </c>
      <c r="O59" s="1" t="s">
        <v>115</v>
      </c>
      <c r="P59" s="1" t="s">
        <v>50</v>
      </c>
      <c r="Q59" s="1" t="s">
        <v>116</v>
      </c>
      <c r="S59" s="1">
        <v>54229</v>
      </c>
      <c r="T59" s="1" t="s">
        <v>52</v>
      </c>
      <c r="U59" s="1">
        <v>3</v>
      </c>
      <c r="V59" s="1" t="s">
        <v>148</v>
      </c>
      <c r="W59" s="1" t="s">
        <v>54</v>
      </c>
      <c r="X59" s="1" t="s">
        <v>149</v>
      </c>
      <c r="Y59" s="1" t="s">
        <v>150</v>
      </c>
      <c r="Z59" s="1">
        <v>79106</v>
      </c>
      <c r="AA59" s="14">
        <v>39295</v>
      </c>
      <c r="AM59" s="3">
        <v>91.1</v>
      </c>
      <c r="AN59" s="1">
        <v>16.600000000000001</v>
      </c>
      <c r="AO59" s="3">
        <v>8.3000000000000007</v>
      </c>
    </row>
    <row r="60" spans="1:41" x14ac:dyDescent="0.25">
      <c r="A60" s="1" t="s">
        <v>109</v>
      </c>
      <c r="C60" s="1" t="s">
        <v>42</v>
      </c>
      <c r="D60" s="1">
        <v>169.86380726231201</v>
      </c>
      <c r="E60" s="1">
        <v>-71.825949670516906</v>
      </c>
      <c r="F60" s="1">
        <v>10</v>
      </c>
      <c r="G60" s="1" t="s">
        <v>110</v>
      </c>
      <c r="H60" s="1">
        <v>2312</v>
      </c>
      <c r="I60" s="1" t="s">
        <v>44</v>
      </c>
      <c r="J60" s="1" t="s">
        <v>111</v>
      </c>
      <c r="L60" s="1" t="s">
        <v>112</v>
      </c>
      <c r="M60" s="1" t="s">
        <v>113</v>
      </c>
      <c r="N60" s="1" t="s">
        <v>114</v>
      </c>
      <c r="O60" s="1" t="s">
        <v>115</v>
      </c>
      <c r="P60" s="1" t="s">
        <v>50</v>
      </c>
      <c r="Q60" s="1" t="s">
        <v>116</v>
      </c>
      <c r="S60" s="1">
        <v>54230</v>
      </c>
      <c r="T60" s="1" t="s">
        <v>52</v>
      </c>
      <c r="U60" s="1">
        <v>4</v>
      </c>
      <c r="V60" s="1" t="s">
        <v>148</v>
      </c>
      <c r="W60" s="1" t="s">
        <v>54</v>
      </c>
      <c r="X60" s="1" t="s">
        <v>149</v>
      </c>
      <c r="Y60" s="1" t="s">
        <v>150</v>
      </c>
      <c r="Z60" s="1">
        <v>79106</v>
      </c>
      <c r="AA60" s="14">
        <v>39295</v>
      </c>
      <c r="AM60" s="3">
        <v>51.3</v>
      </c>
      <c r="AN60" s="1">
        <v>18</v>
      </c>
      <c r="AO60" s="3">
        <v>9</v>
      </c>
    </row>
    <row r="61" spans="1:41" x14ac:dyDescent="0.25">
      <c r="A61" s="1" t="s">
        <v>109</v>
      </c>
      <c r="C61" s="1" t="s">
        <v>42</v>
      </c>
      <c r="D61" s="1">
        <v>169.86380726231201</v>
      </c>
      <c r="E61" s="1">
        <v>-71.825949670516906</v>
      </c>
      <c r="F61" s="1">
        <v>10</v>
      </c>
      <c r="G61" s="1" t="s">
        <v>110</v>
      </c>
      <c r="H61" s="1">
        <v>2312</v>
      </c>
      <c r="I61" s="1" t="s">
        <v>44</v>
      </c>
      <c r="J61" s="1" t="s">
        <v>111</v>
      </c>
      <c r="L61" s="1" t="s">
        <v>112</v>
      </c>
      <c r="M61" s="1" t="s">
        <v>113</v>
      </c>
      <c r="N61" s="1" t="s">
        <v>114</v>
      </c>
      <c r="O61" s="1" t="s">
        <v>115</v>
      </c>
      <c r="P61" s="1" t="s">
        <v>50</v>
      </c>
      <c r="Q61" s="1" t="s">
        <v>116</v>
      </c>
      <c r="S61" s="1">
        <v>54231</v>
      </c>
      <c r="T61" s="1" t="s">
        <v>52</v>
      </c>
      <c r="U61" s="1">
        <v>5</v>
      </c>
      <c r="V61" s="1" t="s">
        <v>148</v>
      </c>
      <c r="W61" s="1" t="s">
        <v>54</v>
      </c>
      <c r="X61" s="1" t="s">
        <v>149</v>
      </c>
      <c r="Y61" s="1" t="s">
        <v>150</v>
      </c>
      <c r="Z61" s="1">
        <v>79106</v>
      </c>
      <c r="AA61" s="14">
        <v>39295</v>
      </c>
      <c r="AM61" s="3">
        <v>47.4</v>
      </c>
      <c r="AN61" s="1">
        <v>5.4</v>
      </c>
      <c r="AO61" s="3">
        <v>2.7</v>
      </c>
    </row>
    <row r="62" spans="1:41" x14ac:dyDescent="0.25">
      <c r="A62" s="1" t="s">
        <v>127</v>
      </c>
      <c r="C62" s="1" t="s">
        <v>119</v>
      </c>
      <c r="D62" s="1">
        <v>168.07361647453601</v>
      </c>
      <c r="E62" s="1">
        <v>-71.106924074301105</v>
      </c>
      <c r="F62" s="1">
        <v>10</v>
      </c>
      <c r="G62" s="1" t="s">
        <v>128</v>
      </c>
      <c r="H62" s="1">
        <v>5</v>
      </c>
      <c r="I62" s="1" t="s">
        <v>129</v>
      </c>
      <c r="J62" s="1" t="s">
        <v>45</v>
      </c>
      <c r="L62" s="1" t="s">
        <v>46</v>
      </c>
      <c r="M62" s="1" t="s">
        <v>47</v>
      </c>
      <c r="N62" s="1" t="s">
        <v>48</v>
      </c>
      <c r="O62" s="1" t="s">
        <v>49</v>
      </c>
      <c r="P62" s="1" t="s">
        <v>50</v>
      </c>
      <c r="S62" s="1">
        <v>54232</v>
      </c>
      <c r="T62" s="1" t="s">
        <v>52</v>
      </c>
      <c r="U62" s="1">
        <v>2</v>
      </c>
      <c r="V62" s="1" t="s">
        <v>148</v>
      </c>
      <c r="W62" s="1" t="s">
        <v>54</v>
      </c>
      <c r="X62" s="1" t="s">
        <v>149</v>
      </c>
      <c r="Y62" s="1" t="s">
        <v>150</v>
      </c>
      <c r="Z62" s="1">
        <v>79120</v>
      </c>
      <c r="AA62" s="14">
        <v>39295</v>
      </c>
      <c r="AM62" s="3">
        <v>40.200000000000003</v>
      </c>
      <c r="AN62" s="1">
        <v>3</v>
      </c>
      <c r="AO62" s="3">
        <v>1.5</v>
      </c>
    </row>
    <row r="63" spans="1:41" x14ac:dyDescent="0.25">
      <c r="A63" s="1" t="s">
        <v>127</v>
      </c>
      <c r="C63" s="1" t="s">
        <v>119</v>
      </c>
      <c r="D63" s="1">
        <v>168.07361647453601</v>
      </c>
      <c r="E63" s="1">
        <v>-71.106924074301105</v>
      </c>
      <c r="F63" s="1">
        <v>10</v>
      </c>
      <c r="G63" s="1" t="s">
        <v>128</v>
      </c>
      <c r="H63" s="1">
        <v>5</v>
      </c>
      <c r="I63" s="1" t="s">
        <v>129</v>
      </c>
      <c r="J63" s="1" t="s">
        <v>45</v>
      </c>
      <c r="L63" s="1" t="s">
        <v>46</v>
      </c>
      <c r="M63" s="1" t="s">
        <v>47</v>
      </c>
      <c r="N63" s="1" t="s">
        <v>48</v>
      </c>
      <c r="O63" s="1" t="s">
        <v>49</v>
      </c>
      <c r="P63" s="1" t="s">
        <v>50</v>
      </c>
      <c r="S63" s="1">
        <v>54233</v>
      </c>
      <c r="T63" s="1" t="s">
        <v>52</v>
      </c>
      <c r="U63" s="1">
        <v>3</v>
      </c>
      <c r="V63" s="1" t="s">
        <v>148</v>
      </c>
      <c r="W63" s="1" t="s">
        <v>54</v>
      </c>
      <c r="X63" s="1" t="s">
        <v>149</v>
      </c>
      <c r="Y63" s="1" t="s">
        <v>150</v>
      </c>
      <c r="Z63" s="1">
        <v>79120</v>
      </c>
      <c r="AA63" s="14">
        <v>39295</v>
      </c>
      <c r="AM63" s="3">
        <v>1530.9</v>
      </c>
      <c r="AN63" s="1">
        <v>502</v>
      </c>
      <c r="AO63" s="3">
        <v>251</v>
      </c>
    </row>
    <row r="64" spans="1:41" x14ac:dyDescent="0.25">
      <c r="A64" s="1" t="s">
        <v>131</v>
      </c>
      <c r="C64" s="1" t="s">
        <v>95</v>
      </c>
      <c r="D64" s="1">
        <v>170.169334732371</v>
      </c>
      <c r="E64" s="1">
        <v>-72.033417539055804</v>
      </c>
      <c r="F64" s="1">
        <v>10</v>
      </c>
      <c r="G64" s="1" t="s">
        <v>132</v>
      </c>
      <c r="H64" s="1">
        <v>0</v>
      </c>
      <c r="I64" s="1" t="s">
        <v>44</v>
      </c>
      <c r="J64" s="1" t="s">
        <v>133</v>
      </c>
      <c r="L64" s="1" t="s">
        <v>112</v>
      </c>
      <c r="M64" s="1" t="s">
        <v>134</v>
      </c>
      <c r="N64" s="1" t="s">
        <v>114</v>
      </c>
      <c r="O64" s="1" t="s">
        <v>115</v>
      </c>
      <c r="P64" s="1" t="s">
        <v>50</v>
      </c>
      <c r="Q64" s="1" t="s">
        <v>135</v>
      </c>
      <c r="S64" s="1">
        <v>54234</v>
      </c>
      <c r="T64" s="1" t="s">
        <v>52</v>
      </c>
      <c r="U64" s="1">
        <v>1</v>
      </c>
      <c r="V64" s="1" t="s">
        <v>148</v>
      </c>
      <c r="W64" s="1" t="s">
        <v>54</v>
      </c>
      <c r="X64" s="1" t="s">
        <v>149</v>
      </c>
      <c r="Y64" s="1" t="s">
        <v>150</v>
      </c>
      <c r="Z64" s="1">
        <v>79122</v>
      </c>
      <c r="AA64" s="14">
        <v>39295</v>
      </c>
      <c r="AM64" s="3">
        <v>37.9</v>
      </c>
      <c r="AN64" s="1">
        <v>7</v>
      </c>
      <c r="AO64" s="3">
        <v>3.5</v>
      </c>
    </row>
    <row r="65" spans="1:41" x14ac:dyDescent="0.25">
      <c r="A65" s="1" t="s">
        <v>131</v>
      </c>
      <c r="C65" s="1" t="s">
        <v>95</v>
      </c>
      <c r="D65" s="1">
        <v>170.169334732371</v>
      </c>
      <c r="E65" s="1">
        <v>-72.033417539055804</v>
      </c>
      <c r="F65" s="1">
        <v>10</v>
      </c>
      <c r="G65" s="1" t="s">
        <v>132</v>
      </c>
      <c r="H65" s="1">
        <v>0</v>
      </c>
      <c r="I65" s="1" t="s">
        <v>44</v>
      </c>
      <c r="J65" s="1" t="s">
        <v>133</v>
      </c>
      <c r="L65" s="1" t="s">
        <v>112</v>
      </c>
      <c r="M65" s="1" t="s">
        <v>134</v>
      </c>
      <c r="N65" s="1" t="s">
        <v>114</v>
      </c>
      <c r="O65" s="1" t="s">
        <v>115</v>
      </c>
      <c r="P65" s="1" t="s">
        <v>50</v>
      </c>
      <c r="Q65" s="1" t="s">
        <v>135</v>
      </c>
      <c r="S65" s="1">
        <v>54235</v>
      </c>
      <c r="T65" s="1" t="s">
        <v>52</v>
      </c>
      <c r="U65" s="1">
        <v>2</v>
      </c>
      <c r="V65" s="1" t="s">
        <v>148</v>
      </c>
      <c r="W65" s="1" t="s">
        <v>54</v>
      </c>
      <c r="X65" s="1" t="s">
        <v>149</v>
      </c>
      <c r="Y65" s="1" t="s">
        <v>150</v>
      </c>
      <c r="Z65" s="1">
        <v>79122</v>
      </c>
      <c r="AA65" s="14">
        <v>39295</v>
      </c>
      <c r="AM65" s="3">
        <v>73.8</v>
      </c>
      <c r="AN65" s="1">
        <v>8.1999999999999993</v>
      </c>
      <c r="AO65" s="3">
        <v>4.0999999999999996</v>
      </c>
    </row>
    <row r="66" spans="1:41" x14ac:dyDescent="0.25">
      <c r="A66" s="1" t="s">
        <v>131</v>
      </c>
      <c r="C66" s="1" t="s">
        <v>95</v>
      </c>
      <c r="D66" s="1">
        <v>170.169334732371</v>
      </c>
      <c r="E66" s="1">
        <v>-72.033417539055804</v>
      </c>
      <c r="F66" s="1">
        <v>10</v>
      </c>
      <c r="G66" s="1" t="s">
        <v>132</v>
      </c>
      <c r="H66" s="1">
        <v>0</v>
      </c>
      <c r="I66" s="1" t="s">
        <v>44</v>
      </c>
      <c r="J66" s="1" t="s">
        <v>133</v>
      </c>
      <c r="L66" s="1" t="s">
        <v>112</v>
      </c>
      <c r="M66" s="1" t="s">
        <v>134</v>
      </c>
      <c r="N66" s="1" t="s">
        <v>114</v>
      </c>
      <c r="O66" s="1" t="s">
        <v>115</v>
      </c>
      <c r="P66" s="1" t="s">
        <v>50</v>
      </c>
      <c r="Q66" s="1" t="s">
        <v>135</v>
      </c>
      <c r="S66" s="1">
        <v>54236</v>
      </c>
      <c r="T66" s="1" t="s">
        <v>52</v>
      </c>
      <c r="U66" s="1">
        <v>3</v>
      </c>
      <c r="V66" s="1" t="s">
        <v>148</v>
      </c>
      <c r="W66" s="1" t="s">
        <v>54</v>
      </c>
      <c r="X66" s="1" t="s">
        <v>149</v>
      </c>
      <c r="Y66" s="1" t="s">
        <v>150</v>
      </c>
      <c r="Z66" s="1">
        <v>79122</v>
      </c>
      <c r="AA66" s="14">
        <v>39295</v>
      </c>
      <c r="AM66" s="3">
        <v>26.9</v>
      </c>
      <c r="AN66" s="1">
        <v>3</v>
      </c>
      <c r="AO66" s="3">
        <v>1.5</v>
      </c>
    </row>
    <row r="67" spans="1:41" x14ac:dyDescent="0.25">
      <c r="A67" s="1" t="s">
        <v>131</v>
      </c>
      <c r="C67" s="1" t="s">
        <v>95</v>
      </c>
      <c r="D67" s="1">
        <v>170.169334732371</v>
      </c>
      <c r="E67" s="1">
        <v>-72.033417539055804</v>
      </c>
      <c r="F67" s="1">
        <v>10</v>
      </c>
      <c r="G67" s="1" t="s">
        <v>132</v>
      </c>
      <c r="H67" s="1">
        <v>0</v>
      </c>
      <c r="I67" s="1" t="s">
        <v>44</v>
      </c>
      <c r="J67" s="1" t="s">
        <v>133</v>
      </c>
      <c r="L67" s="1" t="s">
        <v>112</v>
      </c>
      <c r="M67" s="1" t="s">
        <v>134</v>
      </c>
      <c r="N67" s="1" t="s">
        <v>114</v>
      </c>
      <c r="O67" s="1" t="s">
        <v>115</v>
      </c>
      <c r="P67" s="1" t="s">
        <v>50</v>
      </c>
      <c r="Q67" s="1" t="s">
        <v>135</v>
      </c>
      <c r="S67" s="1">
        <v>54237</v>
      </c>
      <c r="T67" s="1" t="s">
        <v>52</v>
      </c>
      <c r="U67" s="1">
        <v>4</v>
      </c>
      <c r="V67" s="1" t="s">
        <v>148</v>
      </c>
      <c r="W67" s="1" t="s">
        <v>54</v>
      </c>
      <c r="X67" s="1" t="s">
        <v>149</v>
      </c>
      <c r="Y67" s="1" t="s">
        <v>150</v>
      </c>
      <c r="Z67" s="1">
        <v>79122</v>
      </c>
      <c r="AA67" s="14">
        <v>39295</v>
      </c>
      <c r="AM67" s="3">
        <v>62.6</v>
      </c>
      <c r="AN67" s="1">
        <v>55.4</v>
      </c>
      <c r="AO67" s="3">
        <v>27.7</v>
      </c>
    </row>
    <row r="68" spans="1:41" x14ac:dyDescent="0.25">
      <c r="A68" s="1" t="s">
        <v>131</v>
      </c>
      <c r="C68" s="1" t="s">
        <v>95</v>
      </c>
      <c r="D68" s="1">
        <v>170.169334732371</v>
      </c>
      <c r="E68" s="1">
        <v>-72.033417539055804</v>
      </c>
      <c r="F68" s="1">
        <v>10</v>
      </c>
      <c r="G68" s="1" t="s">
        <v>132</v>
      </c>
      <c r="H68" s="1">
        <v>0</v>
      </c>
      <c r="I68" s="1" t="s">
        <v>44</v>
      </c>
      <c r="J68" s="1" t="s">
        <v>133</v>
      </c>
      <c r="L68" s="1" t="s">
        <v>112</v>
      </c>
      <c r="M68" s="1" t="s">
        <v>134</v>
      </c>
      <c r="N68" s="1" t="s">
        <v>114</v>
      </c>
      <c r="O68" s="1" t="s">
        <v>115</v>
      </c>
      <c r="P68" s="1" t="s">
        <v>50</v>
      </c>
      <c r="Q68" s="1" t="s">
        <v>135</v>
      </c>
      <c r="S68" s="1">
        <v>54238</v>
      </c>
      <c r="T68" s="1" t="s">
        <v>52</v>
      </c>
      <c r="U68" s="1">
        <v>6</v>
      </c>
      <c r="V68" s="1" t="s">
        <v>148</v>
      </c>
      <c r="W68" s="1" t="s">
        <v>54</v>
      </c>
      <c r="X68" s="1" t="s">
        <v>149</v>
      </c>
      <c r="Y68" s="1" t="s">
        <v>150</v>
      </c>
      <c r="Z68" s="1">
        <v>79122</v>
      </c>
      <c r="AA68" s="14">
        <v>39295</v>
      </c>
      <c r="AM68" s="3">
        <v>35.9</v>
      </c>
      <c r="AN68" s="1">
        <v>1.6</v>
      </c>
      <c r="AO68" s="3">
        <v>0.8</v>
      </c>
    </row>
    <row r="69" spans="1:41" x14ac:dyDescent="0.25">
      <c r="A69" s="1" t="s">
        <v>137</v>
      </c>
      <c r="C69" s="1" t="s">
        <v>95</v>
      </c>
      <c r="D69" s="1">
        <v>170.158334703874</v>
      </c>
      <c r="E69" s="1">
        <v>-72.022218177241001</v>
      </c>
      <c r="F69" s="1">
        <v>10</v>
      </c>
      <c r="G69" s="1" t="s">
        <v>132</v>
      </c>
      <c r="H69" s="1">
        <v>353</v>
      </c>
      <c r="I69" s="1" t="s">
        <v>44</v>
      </c>
      <c r="J69" s="1" t="s">
        <v>133</v>
      </c>
      <c r="L69" s="1" t="s">
        <v>112</v>
      </c>
      <c r="M69" s="1" t="s">
        <v>134</v>
      </c>
      <c r="N69" s="1" t="s">
        <v>114</v>
      </c>
      <c r="O69" s="1" t="s">
        <v>115</v>
      </c>
      <c r="P69" s="1" t="s">
        <v>50</v>
      </c>
      <c r="Q69" s="1" t="s">
        <v>138</v>
      </c>
      <c r="S69" s="1">
        <v>54239</v>
      </c>
      <c r="T69" s="1" t="s">
        <v>52</v>
      </c>
      <c r="U69" s="1">
        <v>1</v>
      </c>
      <c r="V69" s="1" t="s">
        <v>148</v>
      </c>
      <c r="W69" s="1" t="s">
        <v>54</v>
      </c>
      <c r="X69" s="1" t="s">
        <v>149</v>
      </c>
      <c r="Y69" s="1" t="s">
        <v>150</v>
      </c>
      <c r="Z69" s="1">
        <v>79123</v>
      </c>
      <c r="AA69" s="14">
        <v>39295</v>
      </c>
      <c r="AM69" s="3">
        <v>33</v>
      </c>
      <c r="AN69" s="1">
        <v>2.2000000000000002</v>
      </c>
      <c r="AO69" s="3">
        <v>1.1000000000000001</v>
      </c>
    </row>
    <row r="70" spans="1:41" x14ac:dyDescent="0.25">
      <c r="A70" s="1" t="s">
        <v>137</v>
      </c>
      <c r="C70" s="1" t="s">
        <v>95</v>
      </c>
      <c r="D70" s="1">
        <v>170.158334703874</v>
      </c>
      <c r="E70" s="1">
        <v>-72.022218177241001</v>
      </c>
      <c r="F70" s="1">
        <v>10</v>
      </c>
      <c r="G70" s="1" t="s">
        <v>132</v>
      </c>
      <c r="H70" s="1">
        <v>353</v>
      </c>
      <c r="I70" s="1" t="s">
        <v>44</v>
      </c>
      <c r="J70" s="1" t="s">
        <v>133</v>
      </c>
      <c r="L70" s="1" t="s">
        <v>112</v>
      </c>
      <c r="M70" s="1" t="s">
        <v>134</v>
      </c>
      <c r="N70" s="1" t="s">
        <v>114</v>
      </c>
      <c r="O70" s="1" t="s">
        <v>115</v>
      </c>
      <c r="P70" s="1" t="s">
        <v>50</v>
      </c>
      <c r="Q70" s="1" t="s">
        <v>138</v>
      </c>
      <c r="S70" s="1">
        <v>54240</v>
      </c>
      <c r="T70" s="1" t="s">
        <v>52</v>
      </c>
      <c r="U70" s="1">
        <v>2</v>
      </c>
      <c r="V70" s="1" t="s">
        <v>148</v>
      </c>
      <c r="W70" s="1" t="s">
        <v>54</v>
      </c>
      <c r="X70" s="1" t="s">
        <v>149</v>
      </c>
      <c r="Y70" s="1" t="s">
        <v>150</v>
      </c>
      <c r="Z70" s="1">
        <v>79123</v>
      </c>
      <c r="AA70" s="14">
        <v>39295</v>
      </c>
      <c r="AM70" s="3">
        <v>28.9</v>
      </c>
      <c r="AN70" s="1">
        <v>1.6</v>
      </c>
      <c r="AO70" s="3">
        <v>0.8</v>
      </c>
    </row>
    <row r="71" spans="1:41" x14ac:dyDescent="0.25">
      <c r="A71" s="1" t="s">
        <v>137</v>
      </c>
      <c r="C71" s="1" t="s">
        <v>95</v>
      </c>
      <c r="D71" s="1">
        <v>170.158334703874</v>
      </c>
      <c r="E71" s="1">
        <v>-72.022218177241001</v>
      </c>
      <c r="F71" s="1">
        <v>10</v>
      </c>
      <c r="G71" s="1" t="s">
        <v>132</v>
      </c>
      <c r="H71" s="1">
        <v>353</v>
      </c>
      <c r="I71" s="1" t="s">
        <v>44</v>
      </c>
      <c r="J71" s="1" t="s">
        <v>133</v>
      </c>
      <c r="L71" s="1" t="s">
        <v>112</v>
      </c>
      <c r="M71" s="1" t="s">
        <v>134</v>
      </c>
      <c r="N71" s="1" t="s">
        <v>114</v>
      </c>
      <c r="O71" s="1" t="s">
        <v>115</v>
      </c>
      <c r="P71" s="1" t="s">
        <v>50</v>
      </c>
      <c r="Q71" s="1" t="s">
        <v>138</v>
      </c>
      <c r="S71" s="1">
        <v>54241</v>
      </c>
      <c r="T71" s="1" t="s">
        <v>52</v>
      </c>
      <c r="U71" s="1">
        <v>3</v>
      </c>
      <c r="V71" s="1" t="s">
        <v>148</v>
      </c>
      <c r="W71" s="1" t="s">
        <v>54</v>
      </c>
      <c r="X71" s="1" t="s">
        <v>149</v>
      </c>
      <c r="Y71" s="1" t="s">
        <v>150</v>
      </c>
      <c r="Z71" s="1">
        <v>79123</v>
      </c>
      <c r="AA71" s="14">
        <v>39295</v>
      </c>
      <c r="AM71" s="3">
        <v>26.2</v>
      </c>
      <c r="AN71" s="1">
        <v>2</v>
      </c>
      <c r="AO71" s="3">
        <v>1</v>
      </c>
    </row>
    <row r="72" spans="1:41" x14ac:dyDescent="0.25">
      <c r="A72" s="1" t="s">
        <v>137</v>
      </c>
      <c r="C72" s="1" t="s">
        <v>95</v>
      </c>
      <c r="D72" s="1">
        <v>170.158334703874</v>
      </c>
      <c r="E72" s="1">
        <v>-72.022218177241001</v>
      </c>
      <c r="F72" s="1">
        <v>10</v>
      </c>
      <c r="G72" s="1" t="s">
        <v>132</v>
      </c>
      <c r="H72" s="1">
        <v>353</v>
      </c>
      <c r="I72" s="1" t="s">
        <v>44</v>
      </c>
      <c r="J72" s="1" t="s">
        <v>133</v>
      </c>
      <c r="L72" s="1" t="s">
        <v>112</v>
      </c>
      <c r="M72" s="1" t="s">
        <v>134</v>
      </c>
      <c r="N72" s="1" t="s">
        <v>114</v>
      </c>
      <c r="O72" s="1" t="s">
        <v>115</v>
      </c>
      <c r="P72" s="1" t="s">
        <v>50</v>
      </c>
      <c r="Q72" s="1" t="s">
        <v>138</v>
      </c>
      <c r="S72" s="1">
        <v>54242</v>
      </c>
      <c r="T72" s="1" t="s">
        <v>52</v>
      </c>
      <c r="U72" s="1">
        <v>4</v>
      </c>
      <c r="V72" s="1" t="s">
        <v>148</v>
      </c>
      <c r="W72" s="1" t="s">
        <v>54</v>
      </c>
      <c r="X72" s="1" t="s">
        <v>149</v>
      </c>
      <c r="Y72" s="1" t="s">
        <v>150</v>
      </c>
      <c r="Z72" s="1">
        <v>79123</v>
      </c>
      <c r="AA72" s="14">
        <v>39295</v>
      </c>
      <c r="AM72" s="3">
        <v>33.1</v>
      </c>
      <c r="AN72" s="1">
        <v>3.8</v>
      </c>
      <c r="AO72" s="3">
        <v>1.9</v>
      </c>
    </row>
    <row r="73" spans="1:41" x14ac:dyDescent="0.25">
      <c r="A73" s="1" t="s">
        <v>137</v>
      </c>
      <c r="C73" s="1" t="s">
        <v>95</v>
      </c>
      <c r="D73" s="1">
        <v>170.158334703874</v>
      </c>
      <c r="E73" s="1">
        <v>-72.022218177241001</v>
      </c>
      <c r="F73" s="1">
        <v>10</v>
      </c>
      <c r="G73" s="1" t="s">
        <v>132</v>
      </c>
      <c r="H73" s="1">
        <v>353</v>
      </c>
      <c r="I73" s="1" t="s">
        <v>44</v>
      </c>
      <c r="J73" s="1" t="s">
        <v>133</v>
      </c>
      <c r="L73" s="1" t="s">
        <v>112</v>
      </c>
      <c r="M73" s="1" t="s">
        <v>134</v>
      </c>
      <c r="N73" s="1" t="s">
        <v>114</v>
      </c>
      <c r="O73" s="1" t="s">
        <v>115</v>
      </c>
      <c r="P73" s="1" t="s">
        <v>50</v>
      </c>
      <c r="Q73" s="1" t="s">
        <v>138</v>
      </c>
      <c r="S73" s="1">
        <v>54243</v>
      </c>
      <c r="T73" s="1" t="s">
        <v>52</v>
      </c>
      <c r="U73" s="1">
        <v>5</v>
      </c>
      <c r="V73" s="1" t="s">
        <v>148</v>
      </c>
      <c r="W73" s="1" t="s">
        <v>54</v>
      </c>
      <c r="X73" s="1" t="s">
        <v>149</v>
      </c>
      <c r="Y73" s="1" t="s">
        <v>150</v>
      </c>
      <c r="Z73" s="1">
        <v>79123</v>
      </c>
      <c r="AA73" s="14">
        <v>39295</v>
      </c>
      <c r="AM73" s="3">
        <v>36.4</v>
      </c>
      <c r="AN73" s="1">
        <v>6.6</v>
      </c>
      <c r="AO73" s="3">
        <v>3.3</v>
      </c>
    </row>
    <row r="74" spans="1:41" x14ac:dyDescent="0.25">
      <c r="A74" s="1" t="s">
        <v>137</v>
      </c>
      <c r="C74" s="1" t="s">
        <v>95</v>
      </c>
      <c r="D74" s="1">
        <v>170.158334703874</v>
      </c>
      <c r="E74" s="1">
        <v>-72.022218177241001</v>
      </c>
      <c r="F74" s="1">
        <v>10</v>
      </c>
      <c r="G74" s="1" t="s">
        <v>132</v>
      </c>
      <c r="H74" s="1">
        <v>353</v>
      </c>
      <c r="I74" s="1" t="s">
        <v>44</v>
      </c>
      <c r="J74" s="1" t="s">
        <v>133</v>
      </c>
      <c r="L74" s="1" t="s">
        <v>112</v>
      </c>
      <c r="M74" s="1" t="s">
        <v>134</v>
      </c>
      <c r="N74" s="1" t="s">
        <v>114</v>
      </c>
      <c r="O74" s="1" t="s">
        <v>115</v>
      </c>
      <c r="P74" s="1" t="s">
        <v>50</v>
      </c>
      <c r="Q74" s="1" t="s">
        <v>138</v>
      </c>
      <c r="S74" s="1">
        <v>54244</v>
      </c>
      <c r="T74" s="1" t="s">
        <v>52</v>
      </c>
      <c r="U74" s="1">
        <v>6</v>
      </c>
      <c r="V74" s="1" t="s">
        <v>148</v>
      </c>
      <c r="W74" s="1" t="s">
        <v>54</v>
      </c>
      <c r="X74" s="1" t="s">
        <v>149</v>
      </c>
      <c r="Y74" s="1" t="s">
        <v>150</v>
      </c>
      <c r="Z74" s="1">
        <v>79123</v>
      </c>
      <c r="AA74" s="14">
        <v>39295</v>
      </c>
      <c r="AM74" s="3">
        <v>44.6</v>
      </c>
      <c r="AN74" s="1">
        <v>5.6</v>
      </c>
      <c r="AO74" s="3">
        <v>2.8</v>
      </c>
    </row>
    <row r="75" spans="1:41" x14ac:dyDescent="0.25">
      <c r="A75" s="1" t="s">
        <v>144</v>
      </c>
      <c r="C75" s="1" t="s">
        <v>95</v>
      </c>
      <c r="D75" s="1">
        <v>169.75259660329701</v>
      </c>
      <c r="E75" s="1">
        <v>-72.307824012519404</v>
      </c>
      <c r="F75" s="1">
        <v>10</v>
      </c>
      <c r="G75" s="1" t="s">
        <v>145</v>
      </c>
      <c r="H75" s="1">
        <v>1746</v>
      </c>
      <c r="I75" s="1" t="s">
        <v>44</v>
      </c>
      <c r="J75" s="1" t="s">
        <v>45</v>
      </c>
      <c r="L75" s="1" t="s">
        <v>46</v>
      </c>
      <c r="M75" s="1" t="s">
        <v>47</v>
      </c>
      <c r="N75" s="1" t="s">
        <v>48</v>
      </c>
      <c r="O75" s="1" t="s">
        <v>49</v>
      </c>
      <c r="P75" s="1" t="s">
        <v>50</v>
      </c>
      <c r="Q75" s="1" t="s">
        <v>146</v>
      </c>
      <c r="S75" s="1">
        <v>54245</v>
      </c>
      <c r="T75" s="1" t="s">
        <v>52</v>
      </c>
      <c r="U75" s="1">
        <v>1</v>
      </c>
      <c r="V75" s="1" t="s">
        <v>148</v>
      </c>
      <c r="W75" s="1" t="s">
        <v>54</v>
      </c>
      <c r="X75" s="1" t="s">
        <v>149</v>
      </c>
      <c r="Y75" s="1" t="s">
        <v>150</v>
      </c>
      <c r="Z75" s="1">
        <v>79127</v>
      </c>
      <c r="AA75" s="14">
        <v>39295</v>
      </c>
      <c r="AM75" s="3">
        <v>47.1</v>
      </c>
      <c r="AN75" s="1">
        <v>8.4</v>
      </c>
      <c r="AO75" s="3">
        <v>4.2</v>
      </c>
    </row>
    <row r="76" spans="1:41" x14ac:dyDescent="0.25">
      <c r="A76" s="1" t="s">
        <v>144</v>
      </c>
      <c r="C76" s="1" t="s">
        <v>95</v>
      </c>
      <c r="D76" s="1">
        <v>169.75259660329701</v>
      </c>
      <c r="E76" s="1">
        <v>-72.307824012519404</v>
      </c>
      <c r="F76" s="1">
        <v>10</v>
      </c>
      <c r="G76" s="1" t="s">
        <v>145</v>
      </c>
      <c r="H76" s="1">
        <v>1746</v>
      </c>
      <c r="I76" s="1" t="s">
        <v>44</v>
      </c>
      <c r="J76" s="1" t="s">
        <v>45</v>
      </c>
      <c r="L76" s="1" t="s">
        <v>46</v>
      </c>
      <c r="M76" s="1" t="s">
        <v>47</v>
      </c>
      <c r="N76" s="1" t="s">
        <v>48</v>
      </c>
      <c r="O76" s="1" t="s">
        <v>49</v>
      </c>
      <c r="P76" s="1" t="s">
        <v>50</v>
      </c>
      <c r="Q76" s="1" t="s">
        <v>146</v>
      </c>
      <c r="S76" s="1">
        <v>54246</v>
      </c>
      <c r="T76" s="1" t="s">
        <v>52</v>
      </c>
      <c r="U76" s="1">
        <v>2</v>
      </c>
      <c r="V76" s="1" t="s">
        <v>148</v>
      </c>
      <c r="W76" s="1" t="s">
        <v>54</v>
      </c>
      <c r="X76" s="1" t="s">
        <v>149</v>
      </c>
      <c r="Y76" s="1" t="s">
        <v>150</v>
      </c>
      <c r="Z76" s="1">
        <v>79127</v>
      </c>
      <c r="AA76" s="14">
        <v>39295</v>
      </c>
      <c r="AM76" s="3">
        <v>29.7</v>
      </c>
      <c r="AN76" s="1">
        <v>2.2000000000000002</v>
      </c>
      <c r="AO76" s="3">
        <v>1.1000000000000001</v>
      </c>
    </row>
    <row r="77" spans="1:41" x14ac:dyDescent="0.25">
      <c r="A77" s="1" t="s">
        <v>144</v>
      </c>
      <c r="C77" s="1" t="s">
        <v>95</v>
      </c>
      <c r="D77" s="1">
        <v>169.75259660329701</v>
      </c>
      <c r="E77" s="1">
        <v>-72.307824012519404</v>
      </c>
      <c r="F77" s="1">
        <v>10</v>
      </c>
      <c r="G77" s="1" t="s">
        <v>145</v>
      </c>
      <c r="H77" s="1">
        <v>1746</v>
      </c>
      <c r="I77" s="1" t="s">
        <v>44</v>
      </c>
      <c r="J77" s="1" t="s">
        <v>45</v>
      </c>
      <c r="L77" s="1" t="s">
        <v>46</v>
      </c>
      <c r="M77" s="1" t="s">
        <v>47</v>
      </c>
      <c r="N77" s="1" t="s">
        <v>48</v>
      </c>
      <c r="O77" s="1" t="s">
        <v>49</v>
      </c>
      <c r="P77" s="1" t="s">
        <v>50</v>
      </c>
      <c r="Q77" s="1" t="s">
        <v>146</v>
      </c>
      <c r="S77" s="1">
        <v>54247</v>
      </c>
      <c r="T77" s="1" t="s">
        <v>52</v>
      </c>
      <c r="U77" s="1">
        <v>3</v>
      </c>
      <c r="V77" s="1" t="s">
        <v>148</v>
      </c>
      <c r="W77" s="1" t="s">
        <v>54</v>
      </c>
      <c r="X77" s="1" t="s">
        <v>149</v>
      </c>
      <c r="Y77" s="1" t="s">
        <v>150</v>
      </c>
      <c r="Z77" s="1">
        <v>79127</v>
      </c>
      <c r="AA77" s="14">
        <v>39295</v>
      </c>
      <c r="AM77" s="3">
        <v>119.3</v>
      </c>
      <c r="AN77" s="1">
        <v>13</v>
      </c>
      <c r="AO77" s="3">
        <v>6.5</v>
      </c>
    </row>
    <row r="78" spans="1:41" x14ac:dyDescent="0.25">
      <c r="A78" s="1" t="s">
        <v>144</v>
      </c>
      <c r="C78" s="1" t="s">
        <v>95</v>
      </c>
      <c r="D78" s="1">
        <v>169.75259660329701</v>
      </c>
      <c r="E78" s="1">
        <v>-72.307824012519404</v>
      </c>
      <c r="F78" s="1">
        <v>10</v>
      </c>
      <c r="G78" s="1" t="s">
        <v>145</v>
      </c>
      <c r="H78" s="1">
        <v>1746</v>
      </c>
      <c r="I78" s="1" t="s">
        <v>44</v>
      </c>
      <c r="J78" s="1" t="s">
        <v>45</v>
      </c>
      <c r="L78" s="1" t="s">
        <v>46</v>
      </c>
      <c r="M78" s="1" t="s">
        <v>47</v>
      </c>
      <c r="N78" s="1" t="s">
        <v>48</v>
      </c>
      <c r="O78" s="1" t="s">
        <v>49</v>
      </c>
      <c r="P78" s="1" t="s">
        <v>50</v>
      </c>
      <c r="Q78" s="1" t="s">
        <v>146</v>
      </c>
      <c r="S78" s="1">
        <v>54248</v>
      </c>
      <c r="T78" s="1" t="s">
        <v>52</v>
      </c>
      <c r="U78" s="1">
        <v>4</v>
      </c>
      <c r="V78" s="1" t="s">
        <v>148</v>
      </c>
      <c r="W78" s="1" t="s">
        <v>54</v>
      </c>
      <c r="X78" s="1" t="s">
        <v>149</v>
      </c>
      <c r="Y78" s="1" t="s">
        <v>150</v>
      </c>
      <c r="Z78" s="1">
        <v>79127</v>
      </c>
      <c r="AA78" s="14">
        <v>39295</v>
      </c>
      <c r="AM78" s="3">
        <v>26</v>
      </c>
      <c r="AN78" s="1">
        <v>1.8</v>
      </c>
      <c r="AO78" s="3">
        <v>0.9</v>
      </c>
    </row>
    <row r="79" spans="1:41" x14ac:dyDescent="0.25">
      <c r="A79" s="1" t="s">
        <v>151</v>
      </c>
      <c r="C79" s="1" t="s">
        <v>53</v>
      </c>
      <c r="D79" s="1">
        <v>165.802357732551</v>
      </c>
      <c r="E79" s="1">
        <v>-70.729572300210506</v>
      </c>
      <c r="F79" s="1">
        <v>2000</v>
      </c>
      <c r="G79" s="1" t="s">
        <v>152</v>
      </c>
      <c r="H79" s="1">
        <v>145</v>
      </c>
      <c r="I79" s="1" t="s">
        <v>44</v>
      </c>
      <c r="J79" s="1" t="s">
        <v>153</v>
      </c>
      <c r="L79" s="1" t="s">
        <v>112</v>
      </c>
      <c r="M79" s="1" t="s">
        <v>134</v>
      </c>
      <c r="N79" s="1" t="s">
        <v>115</v>
      </c>
      <c r="O79" s="1" t="s">
        <v>115</v>
      </c>
      <c r="P79" s="1" t="s">
        <v>154</v>
      </c>
      <c r="S79" s="1">
        <v>54182</v>
      </c>
      <c r="T79" s="1" t="s">
        <v>52</v>
      </c>
      <c r="U79" s="1">
        <v>1</v>
      </c>
      <c r="V79" s="1" t="s">
        <v>148</v>
      </c>
      <c r="W79" s="1" t="s">
        <v>54</v>
      </c>
      <c r="X79" s="1" t="s">
        <v>149</v>
      </c>
      <c r="Y79" s="1" t="s">
        <v>150</v>
      </c>
      <c r="AA79" s="14">
        <v>39295</v>
      </c>
      <c r="AM79" s="3">
        <v>37.299999999999997</v>
      </c>
      <c r="AN79" s="1">
        <v>10.8</v>
      </c>
      <c r="AO79" s="3">
        <v>5.4</v>
      </c>
    </row>
    <row r="80" spans="1:41" x14ac:dyDescent="0.25">
      <c r="A80" s="1" t="s">
        <v>151</v>
      </c>
      <c r="C80" s="1" t="s">
        <v>53</v>
      </c>
      <c r="D80" s="1">
        <v>165.802357732551</v>
      </c>
      <c r="E80" s="1">
        <v>-70.729572300210506</v>
      </c>
      <c r="F80" s="1">
        <v>2000</v>
      </c>
      <c r="G80" s="1" t="s">
        <v>152</v>
      </c>
      <c r="H80" s="1">
        <v>145</v>
      </c>
      <c r="I80" s="1" t="s">
        <v>44</v>
      </c>
      <c r="J80" s="1" t="s">
        <v>153</v>
      </c>
      <c r="L80" s="1" t="s">
        <v>112</v>
      </c>
      <c r="M80" s="1" t="s">
        <v>134</v>
      </c>
      <c r="N80" s="1" t="s">
        <v>115</v>
      </c>
      <c r="O80" s="1" t="s">
        <v>115</v>
      </c>
      <c r="P80" s="1" t="s">
        <v>154</v>
      </c>
      <c r="S80" s="1">
        <v>54183</v>
      </c>
      <c r="T80" s="1" t="s">
        <v>52</v>
      </c>
      <c r="U80" s="1">
        <v>2</v>
      </c>
      <c r="V80" s="1" t="s">
        <v>148</v>
      </c>
      <c r="W80" s="1" t="s">
        <v>54</v>
      </c>
      <c r="X80" s="1" t="s">
        <v>149</v>
      </c>
      <c r="Y80" s="1" t="s">
        <v>150</v>
      </c>
      <c r="AA80" s="14">
        <v>39295</v>
      </c>
      <c r="AM80" s="3">
        <v>38.4</v>
      </c>
      <c r="AN80" s="1">
        <v>9.8000000000000007</v>
      </c>
      <c r="AO80" s="3">
        <v>4.9000000000000004</v>
      </c>
    </row>
    <row r="81" spans="1:41" x14ac:dyDescent="0.25">
      <c r="A81" s="1" t="s">
        <v>151</v>
      </c>
      <c r="C81" s="1" t="s">
        <v>53</v>
      </c>
      <c r="D81" s="1">
        <v>165.802357732551</v>
      </c>
      <c r="E81" s="1">
        <v>-70.729572300210506</v>
      </c>
      <c r="F81" s="1">
        <v>2000</v>
      </c>
      <c r="G81" s="1" t="s">
        <v>152</v>
      </c>
      <c r="H81" s="1">
        <v>145</v>
      </c>
      <c r="I81" s="1" t="s">
        <v>44</v>
      </c>
      <c r="J81" s="1" t="s">
        <v>153</v>
      </c>
      <c r="L81" s="1" t="s">
        <v>112</v>
      </c>
      <c r="M81" s="1" t="s">
        <v>134</v>
      </c>
      <c r="N81" s="1" t="s">
        <v>115</v>
      </c>
      <c r="O81" s="1" t="s">
        <v>115</v>
      </c>
      <c r="P81" s="1" t="s">
        <v>154</v>
      </c>
      <c r="S81" s="1">
        <v>54184</v>
      </c>
      <c r="T81" s="1" t="s">
        <v>52</v>
      </c>
      <c r="U81" s="1">
        <v>4</v>
      </c>
      <c r="V81" s="1" t="s">
        <v>148</v>
      </c>
      <c r="W81" s="1" t="s">
        <v>54</v>
      </c>
      <c r="X81" s="1" t="s">
        <v>149</v>
      </c>
      <c r="Y81" s="1" t="s">
        <v>150</v>
      </c>
      <c r="AA81" s="14">
        <v>39295</v>
      </c>
      <c r="AM81" s="3">
        <v>48.4</v>
      </c>
      <c r="AN81" s="1">
        <v>2.4</v>
      </c>
      <c r="AO81" s="3">
        <v>1.2</v>
      </c>
    </row>
    <row r="82" spans="1:41" x14ac:dyDescent="0.25">
      <c r="A82" s="1" t="s">
        <v>151</v>
      </c>
      <c r="C82" s="1" t="s">
        <v>53</v>
      </c>
      <c r="D82" s="1">
        <v>165.802357732551</v>
      </c>
      <c r="E82" s="1">
        <v>-70.729572300210506</v>
      </c>
      <c r="F82" s="1">
        <v>2000</v>
      </c>
      <c r="G82" s="1" t="s">
        <v>152</v>
      </c>
      <c r="H82" s="1">
        <v>145</v>
      </c>
      <c r="I82" s="1" t="s">
        <v>44</v>
      </c>
      <c r="J82" s="1" t="s">
        <v>153</v>
      </c>
      <c r="L82" s="1" t="s">
        <v>112</v>
      </c>
      <c r="M82" s="1" t="s">
        <v>134</v>
      </c>
      <c r="N82" s="1" t="s">
        <v>115</v>
      </c>
      <c r="O82" s="1" t="s">
        <v>115</v>
      </c>
      <c r="P82" s="1" t="s">
        <v>154</v>
      </c>
      <c r="S82" s="1">
        <v>54185</v>
      </c>
      <c r="T82" s="1" t="s">
        <v>52</v>
      </c>
      <c r="U82" s="1">
        <v>5</v>
      </c>
      <c r="V82" s="1" t="s">
        <v>148</v>
      </c>
      <c r="W82" s="1" t="s">
        <v>54</v>
      </c>
      <c r="X82" s="1" t="s">
        <v>149</v>
      </c>
      <c r="Y82" s="1" t="s">
        <v>150</v>
      </c>
      <c r="AA82" s="14">
        <v>39295</v>
      </c>
      <c r="AM82" s="3">
        <v>29</v>
      </c>
      <c r="AN82" s="1">
        <v>1.8</v>
      </c>
      <c r="AO82" s="3">
        <v>0.9</v>
      </c>
    </row>
    <row r="83" spans="1:41" x14ac:dyDescent="0.25">
      <c r="A83" s="1" t="s">
        <v>155</v>
      </c>
      <c r="C83" s="1" t="s">
        <v>53</v>
      </c>
      <c r="D83" s="1">
        <v>166.56533778884599</v>
      </c>
      <c r="E83" s="1">
        <v>-70.7655675708492</v>
      </c>
      <c r="F83" s="1">
        <v>1000</v>
      </c>
      <c r="G83" s="1" t="s">
        <v>156</v>
      </c>
      <c r="H83" s="1">
        <v>25</v>
      </c>
      <c r="I83" s="1" t="s">
        <v>44</v>
      </c>
      <c r="J83" s="1" t="s">
        <v>153</v>
      </c>
      <c r="L83" s="1" t="s">
        <v>112</v>
      </c>
      <c r="M83" s="1" t="s">
        <v>134</v>
      </c>
      <c r="N83" s="1" t="s">
        <v>115</v>
      </c>
      <c r="O83" s="1" t="s">
        <v>115</v>
      </c>
      <c r="P83" s="1" t="s">
        <v>154</v>
      </c>
      <c r="S83" s="1">
        <v>54186</v>
      </c>
      <c r="T83" s="1" t="s">
        <v>52</v>
      </c>
      <c r="U83" s="1">
        <v>1</v>
      </c>
      <c r="V83" s="1" t="s">
        <v>148</v>
      </c>
      <c r="W83" s="1" t="s">
        <v>54</v>
      </c>
      <c r="X83" s="1" t="s">
        <v>149</v>
      </c>
      <c r="Y83" s="1" t="s">
        <v>150</v>
      </c>
      <c r="AA83" s="14">
        <v>39295</v>
      </c>
      <c r="AM83" s="3">
        <v>37.700000000000003</v>
      </c>
      <c r="AN83" s="1">
        <v>7.4</v>
      </c>
      <c r="AO83" s="3">
        <v>3.7</v>
      </c>
    </row>
    <row r="84" spans="1:41" x14ac:dyDescent="0.25">
      <c r="A84" s="1" t="s">
        <v>155</v>
      </c>
      <c r="C84" s="1" t="s">
        <v>53</v>
      </c>
      <c r="D84" s="1">
        <v>166.56533778884599</v>
      </c>
      <c r="E84" s="1">
        <v>-70.7655675708492</v>
      </c>
      <c r="F84" s="1">
        <v>1000</v>
      </c>
      <c r="G84" s="1" t="s">
        <v>156</v>
      </c>
      <c r="H84" s="1">
        <v>25</v>
      </c>
      <c r="I84" s="1" t="s">
        <v>44</v>
      </c>
      <c r="J84" s="1" t="s">
        <v>153</v>
      </c>
      <c r="L84" s="1" t="s">
        <v>112</v>
      </c>
      <c r="M84" s="1" t="s">
        <v>134</v>
      </c>
      <c r="N84" s="1" t="s">
        <v>115</v>
      </c>
      <c r="O84" s="1" t="s">
        <v>115</v>
      </c>
      <c r="P84" s="1" t="s">
        <v>154</v>
      </c>
      <c r="S84" s="1">
        <v>54187</v>
      </c>
      <c r="T84" s="1" t="s">
        <v>52</v>
      </c>
      <c r="U84" s="1">
        <v>2</v>
      </c>
      <c r="V84" s="1" t="s">
        <v>148</v>
      </c>
      <c r="W84" s="1" t="s">
        <v>54</v>
      </c>
      <c r="X84" s="1" t="s">
        <v>149</v>
      </c>
      <c r="Y84" s="1" t="s">
        <v>150</v>
      </c>
      <c r="AA84" s="14">
        <v>39295</v>
      </c>
      <c r="AM84" s="3">
        <v>35.1</v>
      </c>
      <c r="AN84" s="1">
        <v>1.6</v>
      </c>
      <c r="AO84" s="3">
        <v>0.8</v>
      </c>
    </row>
    <row r="85" spans="1:41" x14ac:dyDescent="0.25">
      <c r="A85" s="1" t="s">
        <v>155</v>
      </c>
      <c r="C85" s="1" t="s">
        <v>53</v>
      </c>
      <c r="D85" s="1">
        <v>166.56533778884599</v>
      </c>
      <c r="E85" s="1">
        <v>-70.7655675708492</v>
      </c>
      <c r="F85" s="1">
        <v>1000</v>
      </c>
      <c r="G85" s="1" t="s">
        <v>156</v>
      </c>
      <c r="H85" s="1">
        <v>25</v>
      </c>
      <c r="I85" s="1" t="s">
        <v>44</v>
      </c>
      <c r="J85" s="1" t="s">
        <v>153</v>
      </c>
      <c r="L85" s="1" t="s">
        <v>112</v>
      </c>
      <c r="M85" s="1" t="s">
        <v>134</v>
      </c>
      <c r="N85" s="1" t="s">
        <v>115</v>
      </c>
      <c r="O85" s="1" t="s">
        <v>115</v>
      </c>
      <c r="P85" s="1" t="s">
        <v>154</v>
      </c>
      <c r="S85" s="1">
        <v>54188</v>
      </c>
      <c r="T85" s="1" t="s">
        <v>52</v>
      </c>
      <c r="U85" s="1">
        <v>3</v>
      </c>
      <c r="V85" s="1" t="s">
        <v>148</v>
      </c>
      <c r="W85" s="1" t="s">
        <v>54</v>
      </c>
      <c r="X85" s="1" t="s">
        <v>149</v>
      </c>
      <c r="Y85" s="1" t="s">
        <v>150</v>
      </c>
      <c r="AA85" s="14">
        <v>39295</v>
      </c>
      <c r="AM85" s="3">
        <v>77.599999999999994</v>
      </c>
      <c r="AN85" s="1">
        <v>6.2</v>
      </c>
      <c r="AO85" s="3">
        <v>3.1</v>
      </c>
    </row>
    <row r="86" spans="1:41" x14ac:dyDescent="0.25">
      <c r="A86" s="1" t="s">
        <v>155</v>
      </c>
      <c r="C86" s="1" t="s">
        <v>53</v>
      </c>
      <c r="D86" s="1">
        <v>166.56533778884599</v>
      </c>
      <c r="E86" s="1">
        <v>-70.7655675708492</v>
      </c>
      <c r="F86" s="1">
        <v>1000</v>
      </c>
      <c r="G86" s="1" t="s">
        <v>156</v>
      </c>
      <c r="H86" s="1">
        <v>25</v>
      </c>
      <c r="I86" s="1" t="s">
        <v>44</v>
      </c>
      <c r="J86" s="1" t="s">
        <v>153</v>
      </c>
      <c r="L86" s="1" t="s">
        <v>112</v>
      </c>
      <c r="M86" s="1" t="s">
        <v>134</v>
      </c>
      <c r="N86" s="1" t="s">
        <v>115</v>
      </c>
      <c r="O86" s="1" t="s">
        <v>115</v>
      </c>
      <c r="P86" s="1" t="s">
        <v>154</v>
      </c>
      <c r="S86" s="1">
        <v>54189</v>
      </c>
      <c r="T86" s="1" t="s">
        <v>52</v>
      </c>
      <c r="U86" s="1">
        <v>4</v>
      </c>
      <c r="V86" s="1" t="s">
        <v>148</v>
      </c>
      <c r="W86" s="1" t="s">
        <v>54</v>
      </c>
      <c r="X86" s="1" t="s">
        <v>149</v>
      </c>
      <c r="Y86" s="1" t="s">
        <v>150</v>
      </c>
      <c r="AA86" s="14">
        <v>39295</v>
      </c>
      <c r="AM86" s="3">
        <v>27.4</v>
      </c>
      <c r="AN86" s="1">
        <v>2.2000000000000002</v>
      </c>
      <c r="AO86" s="3">
        <v>1.1000000000000001</v>
      </c>
    </row>
    <row r="87" spans="1:41" x14ac:dyDescent="0.25">
      <c r="A87" s="1" t="s">
        <v>155</v>
      </c>
      <c r="C87" s="1" t="s">
        <v>53</v>
      </c>
      <c r="D87" s="1">
        <v>166.56533778884599</v>
      </c>
      <c r="E87" s="1">
        <v>-70.7655675708492</v>
      </c>
      <c r="F87" s="1">
        <v>1000</v>
      </c>
      <c r="G87" s="1" t="s">
        <v>156</v>
      </c>
      <c r="H87" s="1">
        <v>25</v>
      </c>
      <c r="I87" s="1" t="s">
        <v>44</v>
      </c>
      <c r="J87" s="1" t="s">
        <v>153</v>
      </c>
      <c r="L87" s="1" t="s">
        <v>112</v>
      </c>
      <c r="M87" s="1" t="s">
        <v>134</v>
      </c>
      <c r="N87" s="1" t="s">
        <v>115</v>
      </c>
      <c r="O87" s="1" t="s">
        <v>115</v>
      </c>
      <c r="P87" s="1" t="s">
        <v>154</v>
      </c>
      <c r="S87" s="1">
        <v>54190</v>
      </c>
      <c r="T87" s="1" t="s">
        <v>52</v>
      </c>
      <c r="U87" s="1">
        <v>5</v>
      </c>
      <c r="V87" s="1" t="s">
        <v>148</v>
      </c>
      <c r="W87" s="1" t="s">
        <v>54</v>
      </c>
      <c r="X87" s="1" t="s">
        <v>149</v>
      </c>
      <c r="Y87" s="1" t="s">
        <v>150</v>
      </c>
      <c r="AA87" s="14">
        <v>39295</v>
      </c>
      <c r="AM87" s="3">
        <v>13</v>
      </c>
      <c r="AN87" s="1">
        <v>0.8</v>
      </c>
      <c r="AO87" s="3">
        <v>0.4</v>
      </c>
    </row>
    <row r="88" spans="1:41" x14ac:dyDescent="0.25">
      <c r="A88" s="1" t="s">
        <v>157</v>
      </c>
      <c r="C88" s="1" t="s">
        <v>53</v>
      </c>
      <c r="D88" s="1">
        <v>166.99032663192801</v>
      </c>
      <c r="E88" s="1">
        <v>-70.7865649237268</v>
      </c>
      <c r="F88" s="1">
        <v>1000</v>
      </c>
      <c r="G88" s="1" t="s">
        <v>156</v>
      </c>
      <c r="H88" s="1">
        <v>45</v>
      </c>
      <c r="I88" s="1" t="s">
        <v>44</v>
      </c>
      <c r="J88" s="1" t="s">
        <v>153</v>
      </c>
      <c r="L88" s="1" t="s">
        <v>112</v>
      </c>
      <c r="M88" s="1" t="s">
        <v>134</v>
      </c>
      <c r="N88" s="1" t="s">
        <v>115</v>
      </c>
      <c r="O88" s="1" t="s">
        <v>115</v>
      </c>
      <c r="P88" s="1" t="s">
        <v>154</v>
      </c>
      <c r="S88" s="1">
        <v>54191</v>
      </c>
      <c r="T88" s="1" t="s">
        <v>52</v>
      </c>
      <c r="U88" s="1">
        <v>1</v>
      </c>
      <c r="V88" s="1" t="s">
        <v>148</v>
      </c>
      <c r="W88" s="1" t="s">
        <v>54</v>
      </c>
      <c r="X88" s="1" t="s">
        <v>149</v>
      </c>
      <c r="Y88" s="1" t="s">
        <v>150</v>
      </c>
      <c r="AA88" s="14">
        <v>39295</v>
      </c>
      <c r="AM88" s="3">
        <v>45.2</v>
      </c>
      <c r="AN88" s="1">
        <v>3.6</v>
      </c>
      <c r="AO88" s="3">
        <v>1.8</v>
      </c>
    </row>
    <row r="89" spans="1:41" x14ac:dyDescent="0.25">
      <c r="A89" s="1" t="s">
        <v>157</v>
      </c>
      <c r="C89" s="1" t="s">
        <v>53</v>
      </c>
      <c r="D89" s="1">
        <v>166.99032663192801</v>
      </c>
      <c r="E89" s="1">
        <v>-70.7865649237268</v>
      </c>
      <c r="F89" s="1">
        <v>1000</v>
      </c>
      <c r="G89" s="1" t="s">
        <v>156</v>
      </c>
      <c r="H89" s="1">
        <v>45</v>
      </c>
      <c r="I89" s="1" t="s">
        <v>44</v>
      </c>
      <c r="J89" s="1" t="s">
        <v>153</v>
      </c>
      <c r="L89" s="1" t="s">
        <v>112</v>
      </c>
      <c r="M89" s="1" t="s">
        <v>134</v>
      </c>
      <c r="N89" s="1" t="s">
        <v>115</v>
      </c>
      <c r="O89" s="1" t="s">
        <v>115</v>
      </c>
      <c r="P89" s="1" t="s">
        <v>154</v>
      </c>
      <c r="S89" s="1">
        <v>54192</v>
      </c>
      <c r="T89" s="1" t="s">
        <v>52</v>
      </c>
      <c r="U89" s="1">
        <v>2</v>
      </c>
      <c r="V89" s="1" t="s">
        <v>148</v>
      </c>
      <c r="W89" s="1" t="s">
        <v>54</v>
      </c>
      <c r="X89" s="1" t="s">
        <v>149</v>
      </c>
      <c r="Y89" s="1" t="s">
        <v>150</v>
      </c>
      <c r="AA89" s="14">
        <v>39295</v>
      </c>
      <c r="AM89" s="3">
        <v>368.8</v>
      </c>
      <c r="AN89" s="1">
        <v>29.6</v>
      </c>
      <c r="AO89" s="3">
        <v>14.8</v>
      </c>
    </row>
    <row r="90" spans="1:41" x14ac:dyDescent="0.25">
      <c r="A90" s="1" t="s">
        <v>157</v>
      </c>
      <c r="C90" s="1" t="s">
        <v>53</v>
      </c>
      <c r="D90" s="1">
        <v>166.99032663192801</v>
      </c>
      <c r="E90" s="1">
        <v>-70.7865649237268</v>
      </c>
      <c r="F90" s="1">
        <v>1000</v>
      </c>
      <c r="G90" s="1" t="s">
        <v>156</v>
      </c>
      <c r="H90" s="1">
        <v>45</v>
      </c>
      <c r="I90" s="1" t="s">
        <v>44</v>
      </c>
      <c r="J90" s="1" t="s">
        <v>153</v>
      </c>
      <c r="L90" s="1" t="s">
        <v>112</v>
      </c>
      <c r="M90" s="1" t="s">
        <v>134</v>
      </c>
      <c r="N90" s="1" t="s">
        <v>115</v>
      </c>
      <c r="O90" s="1" t="s">
        <v>115</v>
      </c>
      <c r="P90" s="1" t="s">
        <v>154</v>
      </c>
      <c r="S90" s="1">
        <v>54193</v>
      </c>
      <c r="T90" s="1" t="s">
        <v>52</v>
      </c>
      <c r="U90" s="1">
        <v>3</v>
      </c>
      <c r="V90" s="1" t="s">
        <v>148</v>
      </c>
      <c r="W90" s="1" t="s">
        <v>54</v>
      </c>
      <c r="X90" s="1" t="s">
        <v>149</v>
      </c>
      <c r="Y90" s="1" t="s">
        <v>150</v>
      </c>
      <c r="AA90" s="14">
        <v>39295</v>
      </c>
      <c r="AM90" s="3">
        <v>67</v>
      </c>
      <c r="AN90" s="1">
        <v>13.4</v>
      </c>
      <c r="AO90" s="3">
        <v>6.7</v>
      </c>
    </row>
    <row r="91" spans="1:41" x14ac:dyDescent="0.25">
      <c r="A91" s="1" t="s">
        <v>157</v>
      </c>
      <c r="C91" s="1" t="s">
        <v>53</v>
      </c>
      <c r="D91" s="1">
        <v>166.99032663192801</v>
      </c>
      <c r="E91" s="1">
        <v>-70.7865649237268</v>
      </c>
      <c r="F91" s="1">
        <v>1000</v>
      </c>
      <c r="G91" s="1" t="s">
        <v>156</v>
      </c>
      <c r="H91" s="1">
        <v>45</v>
      </c>
      <c r="I91" s="1" t="s">
        <v>44</v>
      </c>
      <c r="J91" s="1" t="s">
        <v>153</v>
      </c>
      <c r="L91" s="1" t="s">
        <v>112</v>
      </c>
      <c r="M91" s="1" t="s">
        <v>134</v>
      </c>
      <c r="N91" s="1" t="s">
        <v>115</v>
      </c>
      <c r="O91" s="1" t="s">
        <v>115</v>
      </c>
      <c r="P91" s="1" t="s">
        <v>154</v>
      </c>
      <c r="S91" s="1">
        <v>54194</v>
      </c>
      <c r="T91" s="1" t="s">
        <v>52</v>
      </c>
      <c r="U91" s="1">
        <v>4</v>
      </c>
      <c r="V91" s="1" t="s">
        <v>148</v>
      </c>
      <c r="W91" s="1" t="s">
        <v>54</v>
      </c>
      <c r="X91" s="1" t="s">
        <v>149</v>
      </c>
      <c r="Y91" s="1" t="s">
        <v>150</v>
      </c>
      <c r="AA91" s="14">
        <v>39295</v>
      </c>
      <c r="AM91" s="3">
        <v>69.8</v>
      </c>
      <c r="AN91" s="1">
        <v>10.4</v>
      </c>
      <c r="AO91" s="3">
        <v>5.2</v>
      </c>
    </row>
    <row r="92" spans="1:41" x14ac:dyDescent="0.25">
      <c r="A92" s="1" t="s">
        <v>157</v>
      </c>
      <c r="C92" s="1" t="s">
        <v>53</v>
      </c>
      <c r="D92" s="1">
        <v>166.99032663192801</v>
      </c>
      <c r="E92" s="1">
        <v>-70.7865649237268</v>
      </c>
      <c r="F92" s="1">
        <v>1000</v>
      </c>
      <c r="G92" s="1" t="s">
        <v>156</v>
      </c>
      <c r="H92" s="1">
        <v>45</v>
      </c>
      <c r="I92" s="1" t="s">
        <v>44</v>
      </c>
      <c r="J92" s="1" t="s">
        <v>153</v>
      </c>
      <c r="L92" s="1" t="s">
        <v>112</v>
      </c>
      <c r="M92" s="1" t="s">
        <v>134</v>
      </c>
      <c r="N92" s="1" t="s">
        <v>115</v>
      </c>
      <c r="O92" s="1" t="s">
        <v>115</v>
      </c>
      <c r="P92" s="1" t="s">
        <v>154</v>
      </c>
      <c r="S92" s="1">
        <v>54195</v>
      </c>
      <c r="T92" s="1" t="s">
        <v>52</v>
      </c>
      <c r="U92" s="1">
        <v>5</v>
      </c>
      <c r="V92" s="1" t="s">
        <v>148</v>
      </c>
      <c r="W92" s="1" t="s">
        <v>54</v>
      </c>
      <c r="X92" s="1" t="s">
        <v>149</v>
      </c>
      <c r="Y92" s="1" t="s">
        <v>150</v>
      </c>
      <c r="AA92" s="14">
        <v>39295</v>
      </c>
      <c r="AM92" s="3">
        <v>47</v>
      </c>
      <c r="AN92" s="1">
        <v>2.8</v>
      </c>
      <c r="AO92" s="3">
        <v>1.4</v>
      </c>
    </row>
    <row r="93" spans="1:41" x14ac:dyDescent="0.25">
      <c r="A93" s="1" t="s">
        <v>158</v>
      </c>
      <c r="C93" s="1" t="s">
        <v>159</v>
      </c>
      <c r="D93" s="1">
        <v>164.80052732572099</v>
      </c>
      <c r="E93" s="1">
        <v>-74.030397544791299</v>
      </c>
      <c r="F93" s="1">
        <v>5000</v>
      </c>
      <c r="G93" s="1" t="s">
        <v>160</v>
      </c>
      <c r="H93" s="1">
        <v>1410</v>
      </c>
      <c r="I93" s="1" t="s">
        <v>44</v>
      </c>
      <c r="J93" s="1" t="s">
        <v>133</v>
      </c>
      <c r="L93" s="1" t="s">
        <v>161</v>
      </c>
      <c r="M93" s="1" t="s">
        <v>134</v>
      </c>
      <c r="N93" s="1" t="s">
        <v>48</v>
      </c>
      <c r="O93" s="1" t="s">
        <v>49</v>
      </c>
      <c r="P93" s="1" t="s">
        <v>162</v>
      </c>
      <c r="S93" s="1">
        <v>47194</v>
      </c>
      <c r="T93" s="1" t="s">
        <v>52</v>
      </c>
      <c r="V93" s="1" t="s">
        <v>163</v>
      </c>
      <c r="W93" s="1" t="s">
        <v>54</v>
      </c>
      <c r="X93" s="1" t="s">
        <v>55</v>
      </c>
      <c r="Y93" s="1" t="s">
        <v>164</v>
      </c>
      <c r="AA93" s="14">
        <v>34335</v>
      </c>
      <c r="AM93" s="3">
        <v>16.3</v>
      </c>
      <c r="AN93" s="1">
        <v>18.600000000000001</v>
      </c>
      <c r="AO93" s="3">
        <v>9.3000000000000007</v>
      </c>
    </row>
    <row r="94" spans="1:41" x14ac:dyDescent="0.25">
      <c r="A94" s="1" t="s">
        <v>165</v>
      </c>
      <c r="C94" s="1" t="s">
        <v>159</v>
      </c>
      <c r="D94" s="1">
        <v>162.80060506390299</v>
      </c>
      <c r="E94" s="1">
        <v>-74.250393587760698</v>
      </c>
      <c r="F94" s="1">
        <v>5000</v>
      </c>
      <c r="G94" s="1" t="s">
        <v>166</v>
      </c>
      <c r="H94" s="1">
        <v>1000</v>
      </c>
      <c r="I94" s="1" t="s">
        <v>44</v>
      </c>
      <c r="J94" s="1" t="s">
        <v>167</v>
      </c>
      <c r="L94" s="1" t="s">
        <v>168</v>
      </c>
      <c r="M94" s="1" t="s">
        <v>169</v>
      </c>
      <c r="N94" s="1" t="s">
        <v>48</v>
      </c>
      <c r="O94" s="1" t="s">
        <v>49</v>
      </c>
      <c r="P94" s="1" t="s">
        <v>162</v>
      </c>
      <c r="S94" s="1">
        <v>47191</v>
      </c>
      <c r="T94" s="1" t="s">
        <v>52</v>
      </c>
      <c r="V94" s="1" t="s">
        <v>163</v>
      </c>
      <c r="W94" s="1" t="s">
        <v>54</v>
      </c>
      <c r="X94" s="1" t="s">
        <v>55</v>
      </c>
      <c r="Y94" s="1" t="s">
        <v>164</v>
      </c>
      <c r="AA94" s="14">
        <v>34335</v>
      </c>
      <c r="AM94" s="3">
        <v>69</v>
      </c>
      <c r="AN94" s="1">
        <v>26</v>
      </c>
      <c r="AO94" s="3">
        <v>13</v>
      </c>
    </row>
    <row r="95" spans="1:41" x14ac:dyDescent="0.25">
      <c r="A95" s="1" t="s">
        <v>170</v>
      </c>
      <c r="C95" s="1" t="s">
        <v>159</v>
      </c>
      <c r="D95" s="1">
        <v>162.53062091631901</v>
      </c>
      <c r="E95" s="1">
        <v>-74.370388119517997</v>
      </c>
      <c r="F95" s="1">
        <v>5000</v>
      </c>
      <c r="G95" s="1" t="s">
        <v>171</v>
      </c>
      <c r="H95" s="1">
        <v>2430</v>
      </c>
      <c r="I95" s="1" t="s">
        <v>44</v>
      </c>
      <c r="J95" s="1" t="s">
        <v>133</v>
      </c>
      <c r="L95" s="1" t="s">
        <v>161</v>
      </c>
      <c r="M95" s="1" t="s">
        <v>134</v>
      </c>
      <c r="N95" s="1" t="s">
        <v>48</v>
      </c>
      <c r="O95" s="1" t="s">
        <v>49</v>
      </c>
      <c r="P95" s="1" t="s">
        <v>162</v>
      </c>
      <c r="S95" s="1">
        <v>47189</v>
      </c>
      <c r="T95" s="1" t="s">
        <v>52</v>
      </c>
      <c r="V95" s="1" t="s">
        <v>163</v>
      </c>
      <c r="W95" s="1" t="s">
        <v>54</v>
      </c>
      <c r="X95" s="1" t="s">
        <v>55</v>
      </c>
      <c r="Y95" s="1" t="s">
        <v>164</v>
      </c>
      <c r="AA95" s="14">
        <v>34335</v>
      </c>
      <c r="AI95" s="1">
        <v>11.2</v>
      </c>
      <c r="AK95" s="2">
        <v>6</v>
      </c>
      <c r="AM95" s="3">
        <v>241</v>
      </c>
      <c r="AN95" s="1">
        <v>36</v>
      </c>
      <c r="AO95" s="3">
        <v>18</v>
      </c>
    </row>
    <row r="96" spans="1:41" x14ac:dyDescent="0.25">
      <c r="A96" s="1" t="s">
        <v>172</v>
      </c>
      <c r="C96" s="1" t="s">
        <v>159</v>
      </c>
      <c r="D96" s="1">
        <v>164.60053757155401</v>
      </c>
      <c r="E96" s="1">
        <v>-74.100394481317096</v>
      </c>
      <c r="F96" s="1">
        <v>5000</v>
      </c>
      <c r="G96" s="1" t="s">
        <v>173</v>
      </c>
      <c r="H96" s="1">
        <v>1400</v>
      </c>
      <c r="I96" s="1" t="s">
        <v>44</v>
      </c>
      <c r="J96" s="1" t="s">
        <v>133</v>
      </c>
      <c r="L96" s="1" t="s">
        <v>161</v>
      </c>
      <c r="M96" s="1" t="s">
        <v>134</v>
      </c>
      <c r="N96" s="1" t="s">
        <v>48</v>
      </c>
      <c r="O96" s="1" t="s">
        <v>49</v>
      </c>
      <c r="P96" s="1" t="s">
        <v>162</v>
      </c>
      <c r="S96" s="1">
        <v>47193</v>
      </c>
      <c r="T96" s="1" t="s">
        <v>52</v>
      </c>
      <c r="V96" s="1" t="s">
        <v>163</v>
      </c>
      <c r="W96" s="1" t="s">
        <v>54</v>
      </c>
      <c r="X96" s="1" t="s">
        <v>55</v>
      </c>
      <c r="Y96" s="1" t="s">
        <v>164</v>
      </c>
      <c r="AA96" s="14">
        <v>34335</v>
      </c>
      <c r="AI96" s="1">
        <v>13.5</v>
      </c>
      <c r="AK96" s="2">
        <v>3.6</v>
      </c>
      <c r="AM96" s="3">
        <v>29.8</v>
      </c>
      <c r="AN96" s="1">
        <v>5.8</v>
      </c>
      <c r="AO96" s="3">
        <v>2.9</v>
      </c>
    </row>
    <row r="97" spans="1:41" x14ac:dyDescent="0.25">
      <c r="A97" s="1" t="s">
        <v>174</v>
      </c>
      <c r="C97" s="1" t="s">
        <v>159</v>
      </c>
      <c r="D97" s="1">
        <v>162.50063563777701</v>
      </c>
      <c r="E97" s="1">
        <v>-74.600375548292902</v>
      </c>
      <c r="F97" s="1">
        <v>5000</v>
      </c>
      <c r="G97" s="1" t="s">
        <v>175</v>
      </c>
      <c r="H97" s="1">
        <v>1590</v>
      </c>
      <c r="I97" s="1" t="s">
        <v>44</v>
      </c>
      <c r="J97" s="1" t="s">
        <v>133</v>
      </c>
      <c r="L97" s="1" t="s">
        <v>161</v>
      </c>
      <c r="M97" s="1" t="s">
        <v>134</v>
      </c>
      <c r="N97" s="1" t="s">
        <v>48</v>
      </c>
      <c r="O97" s="1" t="s">
        <v>49</v>
      </c>
      <c r="P97" s="1" t="s">
        <v>162</v>
      </c>
      <c r="S97" s="1">
        <v>47207</v>
      </c>
      <c r="T97" s="1" t="s">
        <v>52</v>
      </c>
      <c r="V97" s="1" t="s">
        <v>163</v>
      </c>
      <c r="W97" s="1" t="s">
        <v>54</v>
      </c>
      <c r="X97" s="1" t="s">
        <v>55</v>
      </c>
      <c r="Y97" s="1" t="s">
        <v>164</v>
      </c>
      <c r="AA97" s="14">
        <v>34335</v>
      </c>
      <c r="AI97" s="1">
        <v>12.6</v>
      </c>
      <c r="AK97" s="2">
        <v>5.4</v>
      </c>
      <c r="AM97" s="3">
        <v>102</v>
      </c>
      <c r="AN97" s="1">
        <v>14</v>
      </c>
      <c r="AO97" s="3">
        <v>7</v>
      </c>
    </row>
    <row r="98" spans="1:41" x14ac:dyDescent="0.25">
      <c r="A98" s="1" t="s">
        <v>176</v>
      </c>
      <c r="C98" s="1" t="s">
        <v>159</v>
      </c>
      <c r="D98" s="1">
        <v>162.50063563777701</v>
      </c>
      <c r="E98" s="1">
        <v>-74.600375548292902</v>
      </c>
      <c r="F98" s="1">
        <v>5000</v>
      </c>
      <c r="G98" s="1" t="s">
        <v>175</v>
      </c>
      <c r="H98" s="1">
        <v>1450</v>
      </c>
      <c r="I98" s="1" t="s">
        <v>44</v>
      </c>
      <c r="J98" s="1" t="s">
        <v>133</v>
      </c>
      <c r="L98" s="1" t="s">
        <v>161</v>
      </c>
      <c r="M98" s="1" t="s">
        <v>134</v>
      </c>
      <c r="N98" s="1" t="s">
        <v>48</v>
      </c>
      <c r="O98" s="1" t="s">
        <v>49</v>
      </c>
      <c r="P98" s="1" t="s">
        <v>162</v>
      </c>
      <c r="S98" s="1">
        <v>47208</v>
      </c>
      <c r="T98" s="1" t="s">
        <v>52</v>
      </c>
      <c r="V98" s="1" t="s">
        <v>163</v>
      </c>
      <c r="W98" s="1" t="s">
        <v>54</v>
      </c>
      <c r="X98" s="1" t="s">
        <v>55</v>
      </c>
      <c r="Y98" s="1" t="s">
        <v>164</v>
      </c>
      <c r="AA98" s="14">
        <v>34335</v>
      </c>
      <c r="AI98" s="1">
        <v>12.5</v>
      </c>
      <c r="AK98" s="2">
        <v>5.8</v>
      </c>
      <c r="AM98" s="3">
        <v>107</v>
      </c>
      <c r="AN98" s="1">
        <v>20</v>
      </c>
      <c r="AO98" s="3">
        <v>10</v>
      </c>
    </row>
    <row r="99" spans="1:41" x14ac:dyDescent="0.25">
      <c r="A99" s="1" t="s">
        <v>177</v>
      </c>
      <c r="C99" s="1" t="s">
        <v>159</v>
      </c>
      <c r="D99" s="1">
        <v>162.50063563777701</v>
      </c>
      <c r="E99" s="1">
        <v>-74.600375548292902</v>
      </c>
      <c r="F99" s="1">
        <v>5000</v>
      </c>
      <c r="G99" s="1" t="s">
        <v>175</v>
      </c>
      <c r="H99" s="1">
        <v>1220</v>
      </c>
      <c r="I99" s="1" t="s">
        <v>44</v>
      </c>
      <c r="J99" s="1" t="s">
        <v>133</v>
      </c>
      <c r="L99" s="1" t="s">
        <v>161</v>
      </c>
      <c r="M99" s="1" t="s">
        <v>134</v>
      </c>
      <c r="N99" s="1" t="s">
        <v>48</v>
      </c>
      <c r="O99" s="1" t="s">
        <v>49</v>
      </c>
      <c r="P99" s="1" t="s">
        <v>162</v>
      </c>
      <c r="S99" s="1">
        <v>47209</v>
      </c>
      <c r="T99" s="1" t="s">
        <v>52</v>
      </c>
      <c r="V99" s="1" t="s">
        <v>163</v>
      </c>
      <c r="W99" s="1" t="s">
        <v>54</v>
      </c>
      <c r="X99" s="1" t="s">
        <v>55</v>
      </c>
      <c r="Y99" s="1" t="s">
        <v>164</v>
      </c>
      <c r="AA99" s="14">
        <v>34335</v>
      </c>
      <c r="AI99" s="1">
        <v>13.4</v>
      </c>
      <c r="AK99" s="2">
        <v>4.2</v>
      </c>
      <c r="AM99" s="3">
        <v>76.099999999999994</v>
      </c>
      <c r="AN99" s="1">
        <v>11</v>
      </c>
      <c r="AO99" s="3">
        <v>5.5</v>
      </c>
    </row>
    <row r="100" spans="1:41" x14ac:dyDescent="0.25">
      <c r="A100" s="1" t="s">
        <v>178</v>
      </c>
      <c r="C100" s="1" t="s">
        <v>159</v>
      </c>
      <c r="D100" s="1">
        <v>162.50063563777701</v>
      </c>
      <c r="E100" s="1">
        <v>-74.600375548292902</v>
      </c>
      <c r="F100" s="1">
        <v>5000</v>
      </c>
      <c r="G100" s="1" t="s">
        <v>175</v>
      </c>
      <c r="H100" s="1">
        <v>700</v>
      </c>
      <c r="I100" s="1" t="s">
        <v>44</v>
      </c>
      <c r="J100" s="1" t="s">
        <v>133</v>
      </c>
      <c r="L100" s="1" t="s">
        <v>161</v>
      </c>
      <c r="M100" s="1" t="s">
        <v>134</v>
      </c>
      <c r="N100" s="1" t="s">
        <v>48</v>
      </c>
      <c r="O100" s="1" t="s">
        <v>49</v>
      </c>
      <c r="P100" s="1" t="s">
        <v>162</v>
      </c>
      <c r="S100" s="1">
        <v>47211</v>
      </c>
      <c r="T100" s="1" t="s">
        <v>52</v>
      </c>
      <c r="V100" s="1" t="s">
        <v>163</v>
      </c>
      <c r="W100" s="1" t="s">
        <v>54</v>
      </c>
      <c r="X100" s="1" t="s">
        <v>55</v>
      </c>
      <c r="Y100" s="1" t="s">
        <v>164</v>
      </c>
      <c r="AA100" s="14">
        <v>34335</v>
      </c>
      <c r="AI100" s="1">
        <v>13.8</v>
      </c>
      <c r="AK100" s="2">
        <v>4.5</v>
      </c>
      <c r="AM100" s="3">
        <v>57.4</v>
      </c>
      <c r="AN100" s="1">
        <v>9.6</v>
      </c>
      <c r="AO100" s="3">
        <v>4.8</v>
      </c>
    </row>
    <row r="101" spans="1:41" x14ac:dyDescent="0.25">
      <c r="A101" s="1" t="s">
        <v>179</v>
      </c>
      <c r="C101" s="1" t="s">
        <v>159</v>
      </c>
      <c r="D101" s="1">
        <v>162.50063563777701</v>
      </c>
      <c r="E101" s="1">
        <v>-74.600375548292902</v>
      </c>
      <c r="F101" s="1">
        <v>5000</v>
      </c>
      <c r="G101" s="1" t="s">
        <v>175</v>
      </c>
      <c r="H101" s="1">
        <v>940</v>
      </c>
      <c r="I101" s="1" t="s">
        <v>44</v>
      </c>
      <c r="J101" s="1" t="s">
        <v>133</v>
      </c>
      <c r="L101" s="1" t="s">
        <v>161</v>
      </c>
      <c r="M101" s="1" t="s">
        <v>134</v>
      </c>
      <c r="N101" s="1" t="s">
        <v>48</v>
      </c>
      <c r="O101" s="1" t="s">
        <v>49</v>
      </c>
      <c r="P101" s="1" t="s">
        <v>162</v>
      </c>
      <c r="S101" s="1">
        <v>47210</v>
      </c>
      <c r="T101" s="1" t="s">
        <v>52</v>
      </c>
      <c r="V101" s="1" t="s">
        <v>163</v>
      </c>
      <c r="W101" s="1" t="s">
        <v>54</v>
      </c>
      <c r="X101" s="1" t="s">
        <v>55</v>
      </c>
      <c r="Y101" s="1" t="s">
        <v>164</v>
      </c>
      <c r="AA101" s="14">
        <v>34335</v>
      </c>
      <c r="AI101" s="1">
        <v>13.3</v>
      </c>
      <c r="AK101" s="2">
        <v>4.8</v>
      </c>
      <c r="AM101" s="3">
        <v>65.599999999999994</v>
      </c>
      <c r="AN101" s="1">
        <v>9.8000000000000007</v>
      </c>
      <c r="AO101" s="3">
        <v>4.9000000000000004</v>
      </c>
    </row>
    <row r="102" spans="1:41" x14ac:dyDescent="0.25">
      <c r="A102" s="1" t="s">
        <v>180</v>
      </c>
      <c r="C102" s="1" t="s">
        <v>159</v>
      </c>
      <c r="D102" s="1">
        <v>162.700580454186</v>
      </c>
      <c r="E102" s="1">
        <v>-73.750421498165096</v>
      </c>
      <c r="F102" s="1">
        <v>5000</v>
      </c>
      <c r="G102" s="1" t="s">
        <v>181</v>
      </c>
      <c r="H102" s="1">
        <v>660</v>
      </c>
      <c r="I102" s="1" t="s">
        <v>44</v>
      </c>
      <c r="J102" s="1" t="s">
        <v>133</v>
      </c>
      <c r="L102" s="1" t="s">
        <v>161</v>
      </c>
      <c r="M102" s="1" t="s">
        <v>134</v>
      </c>
      <c r="N102" s="1" t="s">
        <v>48</v>
      </c>
      <c r="O102" s="1" t="s">
        <v>49</v>
      </c>
      <c r="P102" s="1" t="s">
        <v>162</v>
      </c>
      <c r="S102" s="1">
        <v>47212</v>
      </c>
      <c r="T102" s="1" t="s">
        <v>52</v>
      </c>
      <c r="V102" s="1" t="s">
        <v>163</v>
      </c>
      <c r="W102" s="1" t="s">
        <v>54</v>
      </c>
      <c r="X102" s="1" t="s">
        <v>55</v>
      </c>
      <c r="Y102" s="1" t="s">
        <v>164</v>
      </c>
      <c r="AA102" s="14">
        <v>34335</v>
      </c>
      <c r="AI102" s="1">
        <v>14.1</v>
      </c>
      <c r="AK102" s="2">
        <v>4.0999999999999996</v>
      </c>
      <c r="AM102" s="3">
        <v>39.9</v>
      </c>
      <c r="AN102" s="1">
        <v>5.8</v>
      </c>
      <c r="AO102" s="3">
        <v>2.9</v>
      </c>
    </row>
    <row r="103" spans="1:41" x14ac:dyDescent="0.25">
      <c r="A103" s="1" t="s">
        <v>182</v>
      </c>
      <c r="C103" s="1" t="s">
        <v>159</v>
      </c>
      <c r="D103" s="1">
        <v>162.500629617789</v>
      </c>
      <c r="E103" s="1">
        <v>-74.500381072959698</v>
      </c>
      <c r="F103" s="1">
        <v>5000</v>
      </c>
      <c r="G103" s="1" t="s">
        <v>183</v>
      </c>
      <c r="H103" s="1">
        <v>2380</v>
      </c>
      <c r="I103" s="1" t="s">
        <v>44</v>
      </c>
      <c r="J103" s="1" t="s">
        <v>133</v>
      </c>
      <c r="L103" s="1" t="s">
        <v>161</v>
      </c>
      <c r="M103" s="1" t="s">
        <v>134</v>
      </c>
      <c r="N103" s="1" t="s">
        <v>48</v>
      </c>
      <c r="O103" s="1" t="s">
        <v>49</v>
      </c>
      <c r="P103" s="1" t="s">
        <v>162</v>
      </c>
      <c r="S103" s="1">
        <v>47196</v>
      </c>
      <c r="T103" s="1" t="s">
        <v>52</v>
      </c>
      <c r="V103" s="1" t="s">
        <v>163</v>
      </c>
      <c r="W103" s="1" t="s">
        <v>54</v>
      </c>
      <c r="X103" s="1" t="s">
        <v>55</v>
      </c>
      <c r="Y103" s="1" t="s">
        <v>164</v>
      </c>
      <c r="AA103" s="14">
        <v>34335</v>
      </c>
      <c r="AI103" s="1">
        <v>10.8</v>
      </c>
      <c r="AK103" s="2">
        <v>5.2</v>
      </c>
      <c r="AM103" s="3">
        <v>198</v>
      </c>
      <c r="AN103" s="1">
        <v>28</v>
      </c>
      <c r="AO103" s="3">
        <v>14</v>
      </c>
    </row>
    <row r="104" spans="1:41" x14ac:dyDescent="0.25">
      <c r="A104" s="1" t="s">
        <v>184</v>
      </c>
      <c r="C104" s="1" t="s">
        <v>159</v>
      </c>
      <c r="D104" s="1">
        <v>162.500629617789</v>
      </c>
      <c r="E104" s="1">
        <v>-74.500381072959698</v>
      </c>
      <c r="F104" s="1">
        <v>5000</v>
      </c>
      <c r="G104" s="1" t="s">
        <v>183</v>
      </c>
      <c r="H104" s="1">
        <v>220</v>
      </c>
      <c r="I104" s="1" t="s">
        <v>44</v>
      </c>
      <c r="J104" s="1" t="s">
        <v>133</v>
      </c>
      <c r="L104" s="1" t="s">
        <v>161</v>
      </c>
      <c r="M104" s="1" t="s">
        <v>134</v>
      </c>
      <c r="N104" s="1" t="s">
        <v>48</v>
      </c>
      <c r="O104" s="1" t="s">
        <v>49</v>
      </c>
      <c r="P104" s="1" t="s">
        <v>162</v>
      </c>
      <c r="S104" s="1">
        <v>47206</v>
      </c>
      <c r="T104" s="1" t="s">
        <v>52</v>
      </c>
      <c r="V104" s="1" t="s">
        <v>163</v>
      </c>
      <c r="W104" s="1" t="s">
        <v>54</v>
      </c>
      <c r="X104" s="1" t="s">
        <v>55</v>
      </c>
      <c r="Y104" s="1" t="s">
        <v>164</v>
      </c>
      <c r="AA104" s="14">
        <v>34335</v>
      </c>
      <c r="AI104" s="1">
        <v>14</v>
      </c>
      <c r="AK104" s="2">
        <v>2.6</v>
      </c>
      <c r="AM104" s="3">
        <v>31.1</v>
      </c>
      <c r="AN104" s="1">
        <v>4.2</v>
      </c>
      <c r="AO104" s="3">
        <v>2.1</v>
      </c>
    </row>
    <row r="105" spans="1:41" x14ac:dyDescent="0.25">
      <c r="A105" s="1" t="s">
        <v>185</v>
      </c>
      <c r="C105" s="1" t="s">
        <v>159</v>
      </c>
      <c r="D105" s="1">
        <v>162.500629617789</v>
      </c>
      <c r="E105" s="1">
        <v>-74.500381072959698</v>
      </c>
      <c r="F105" s="1">
        <v>5000</v>
      </c>
      <c r="G105" s="1" t="s">
        <v>183</v>
      </c>
      <c r="H105" s="1">
        <v>2060</v>
      </c>
      <c r="I105" s="1" t="s">
        <v>44</v>
      </c>
      <c r="J105" s="1" t="s">
        <v>133</v>
      </c>
      <c r="L105" s="1" t="s">
        <v>161</v>
      </c>
      <c r="M105" s="1" t="s">
        <v>134</v>
      </c>
      <c r="N105" s="1" t="s">
        <v>48</v>
      </c>
      <c r="O105" s="1" t="s">
        <v>49</v>
      </c>
      <c r="P105" s="1" t="s">
        <v>162</v>
      </c>
      <c r="S105" s="1">
        <v>47197</v>
      </c>
      <c r="T105" s="1" t="s">
        <v>52</v>
      </c>
      <c r="V105" s="1" t="s">
        <v>163</v>
      </c>
      <c r="W105" s="1" t="s">
        <v>54</v>
      </c>
      <c r="X105" s="1" t="s">
        <v>55</v>
      </c>
      <c r="Y105" s="1" t="s">
        <v>164</v>
      </c>
      <c r="AA105" s="14">
        <v>34335</v>
      </c>
      <c r="AI105" s="1">
        <v>11.5</v>
      </c>
      <c r="AK105" s="2">
        <v>4.4000000000000004</v>
      </c>
      <c r="AM105" s="3">
        <v>114</v>
      </c>
      <c r="AN105" s="1">
        <v>22</v>
      </c>
      <c r="AO105" s="3">
        <v>11</v>
      </c>
    </row>
    <row r="106" spans="1:41" x14ac:dyDescent="0.25">
      <c r="A106" s="1" t="s">
        <v>186</v>
      </c>
      <c r="C106" s="1" t="s">
        <v>159</v>
      </c>
      <c r="D106" s="1">
        <v>162.500629617789</v>
      </c>
      <c r="E106" s="1">
        <v>-74.500381072959698</v>
      </c>
      <c r="F106" s="1">
        <v>5000</v>
      </c>
      <c r="G106" s="1" t="s">
        <v>183</v>
      </c>
      <c r="H106" s="1">
        <v>1950</v>
      </c>
      <c r="I106" s="1" t="s">
        <v>44</v>
      </c>
      <c r="J106" s="1" t="s">
        <v>133</v>
      </c>
      <c r="L106" s="1" t="s">
        <v>161</v>
      </c>
      <c r="M106" s="1" t="s">
        <v>134</v>
      </c>
      <c r="N106" s="1" t="s">
        <v>48</v>
      </c>
      <c r="O106" s="1" t="s">
        <v>49</v>
      </c>
      <c r="P106" s="1" t="s">
        <v>162</v>
      </c>
      <c r="S106" s="1">
        <v>47198</v>
      </c>
      <c r="T106" s="1" t="s">
        <v>52</v>
      </c>
      <c r="V106" s="1" t="s">
        <v>163</v>
      </c>
      <c r="W106" s="1" t="s">
        <v>54</v>
      </c>
      <c r="X106" s="1" t="s">
        <v>55</v>
      </c>
      <c r="Y106" s="1" t="s">
        <v>164</v>
      </c>
      <c r="AA106" s="14">
        <v>34335</v>
      </c>
      <c r="AI106" s="1">
        <v>12.9</v>
      </c>
      <c r="AK106" s="2">
        <v>4</v>
      </c>
      <c r="AM106" s="3">
        <v>97.3</v>
      </c>
      <c r="AN106" s="1">
        <v>12</v>
      </c>
      <c r="AO106" s="3">
        <v>6</v>
      </c>
    </row>
    <row r="107" spans="1:41" x14ac:dyDescent="0.25">
      <c r="A107" s="1" t="s">
        <v>187</v>
      </c>
      <c r="C107" s="1" t="s">
        <v>159</v>
      </c>
      <c r="D107" s="1">
        <v>162.500629617789</v>
      </c>
      <c r="E107" s="1">
        <v>-74.500381072959698</v>
      </c>
      <c r="F107" s="1">
        <v>5000</v>
      </c>
      <c r="G107" s="1" t="s">
        <v>183</v>
      </c>
      <c r="H107" s="1">
        <v>1780</v>
      </c>
      <c r="I107" s="1" t="s">
        <v>44</v>
      </c>
      <c r="J107" s="1" t="s">
        <v>133</v>
      </c>
      <c r="L107" s="1" t="s">
        <v>161</v>
      </c>
      <c r="M107" s="1" t="s">
        <v>134</v>
      </c>
      <c r="N107" s="1" t="s">
        <v>48</v>
      </c>
      <c r="O107" s="1" t="s">
        <v>49</v>
      </c>
      <c r="P107" s="1" t="s">
        <v>162</v>
      </c>
      <c r="S107" s="1">
        <v>47199</v>
      </c>
      <c r="T107" s="1" t="s">
        <v>52</v>
      </c>
      <c r="V107" s="1" t="s">
        <v>163</v>
      </c>
      <c r="W107" s="1" t="s">
        <v>54</v>
      </c>
      <c r="X107" s="1" t="s">
        <v>55</v>
      </c>
      <c r="Y107" s="1" t="s">
        <v>164</v>
      </c>
      <c r="AA107" s="14">
        <v>34335</v>
      </c>
      <c r="AM107" s="3">
        <v>78.2</v>
      </c>
      <c r="AN107" s="1">
        <v>9.8000000000000007</v>
      </c>
      <c r="AO107" s="3">
        <v>4.9000000000000004</v>
      </c>
    </row>
    <row r="108" spans="1:41" x14ac:dyDescent="0.25">
      <c r="A108" s="1" t="s">
        <v>188</v>
      </c>
      <c r="C108" s="1" t="s">
        <v>159</v>
      </c>
      <c r="D108" s="1">
        <v>162.500629617789</v>
      </c>
      <c r="E108" s="1">
        <v>-74.500381072959698</v>
      </c>
      <c r="F108" s="1">
        <v>5000</v>
      </c>
      <c r="G108" s="1" t="s">
        <v>183</v>
      </c>
      <c r="H108" s="1">
        <v>1390</v>
      </c>
      <c r="I108" s="1" t="s">
        <v>44</v>
      </c>
      <c r="J108" s="1" t="s">
        <v>133</v>
      </c>
      <c r="L108" s="1" t="s">
        <v>161</v>
      </c>
      <c r="M108" s="1" t="s">
        <v>134</v>
      </c>
      <c r="N108" s="1" t="s">
        <v>48</v>
      </c>
      <c r="O108" s="1" t="s">
        <v>49</v>
      </c>
      <c r="P108" s="1" t="s">
        <v>162</v>
      </c>
      <c r="S108" s="1">
        <v>47200</v>
      </c>
      <c r="T108" s="1" t="s">
        <v>52</v>
      </c>
      <c r="V108" s="1" t="s">
        <v>163</v>
      </c>
      <c r="W108" s="1" t="s">
        <v>54</v>
      </c>
      <c r="X108" s="1" t="s">
        <v>55</v>
      </c>
      <c r="Y108" s="1" t="s">
        <v>164</v>
      </c>
      <c r="AA108" s="14">
        <v>34335</v>
      </c>
      <c r="AM108" s="3">
        <v>71</v>
      </c>
      <c r="AN108" s="1">
        <v>13</v>
      </c>
      <c r="AO108" s="3">
        <v>6.5</v>
      </c>
    </row>
    <row r="109" spans="1:41" x14ac:dyDescent="0.25">
      <c r="A109" s="1" t="s">
        <v>189</v>
      </c>
      <c r="C109" s="1" t="s">
        <v>159</v>
      </c>
      <c r="D109" s="1">
        <v>162.500629617789</v>
      </c>
      <c r="E109" s="1">
        <v>-74.500381072959698</v>
      </c>
      <c r="F109" s="1">
        <v>5000</v>
      </c>
      <c r="G109" s="1" t="s">
        <v>183</v>
      </c>
      <c r="H109" s="1">
        <v>1020</v>
      </c>
      <c r="I109" s="1" t="s">
        <v>44</v>
      </c>
      <c r="J109" s="1" t="s">
        <v>133</v>
      </c>
      <c r="L109" s="1" t="s">
        <v>161</v>
      </c>
      <c r="M109" s="1" t="s">
        <v>134</v>
      </c>
      <c r="N109" s="1" t="s">
        <v>48</v>
      </c>
      <c r="O109" s="1" t="s">
        <v>49</v>
      </c>
      <c r="P109" s="1" t="s">
        <v>162</v>
      </c>
      <c r="S109" s="1">
        <v>47201</v>
      </c>
      <c r="T109" s="1" t="s">
        <v>52</v>
      </c>
      <c r="V109" s="1" t="s">
        <v>163</v>
      </c>
      <c r="W109" s="1" t="s">
        <v>54</v>
      </c>
      <c r="X109" s="1" t="s">
        <v>55</v>
      </c>
      <c r="Y109" s="1" t="s">
        <v>164</v>
      </c>
      <c r="AA109" s="14">
        <v>34335</v>
      </c>
      <c r="AI109" s="1">
        <v>13.8</v>
      </c>
      <c r="AK109" s="2">
        <v>4</v>
      </c>
      <c r="AM109" s="3">
        <v>67.2</v>
      </c>
      <c r="AN109" s="1">
        <v>8.1999999999999993</v>
      </c>
      <c r="AO109" s="3">
        <v>4.0999999999999996</v>
      </c>
    </row>
    <row r="110" spans="1:41" x14ac:dyDescent="0.25">
      <c r="A110" s="1" t="s">
        <v>190</v>
      </c>
      <c r="C110" s="1" t="s">
        <v>159</v>
      </c>
      <c r="D110" s="1">
        <v>162.500629617789</v>
      </c>
      <c r="E110" s="1">
        <v>-74.500381072959698</v>
      </c>
      <c r="F110" s="1">
        <v>5000</v>
      </c>
      <c r="G110" s="1" t="s">
        <v>183</v>
      </c>
      <c r="H110" s="1">
        <v>550</v>
      </c>
      <c r="I110" s="1" t="s">
        <v>44</v>
      </c>
      <c r="J110" s="1" t="s">
        <v>133</v>
      </c>
      <c r="L110" s="1" t="s">
        <v>161</v>
      </c>
      <c r="M110" s="1" t="s">
        <v>134</v>
      </c>
      <c r="N110" s="1" t="s">
        <v>48</v>
      </c>
      <c r="O110" s="1" t="s">
        <v>49</v>
      </c>
      <c r="P110" s="1" t="s">
        <v>162</v>
      </c>
      <c r="S110" s="1">
        <v>47202</v>
      </c>
      <c r="T110" s="1" t="s">
        <v>52</v>
      </c>
      <c r="V110" s="1" t="s">
        <v>163</v>
      </c>
      <c r="W110" s="1" t="s">
        <v>54</v>
      </c>
      <c r="X110" s="1" t="s">
        <v>55</v>
      </c>
      <c r="Y110" s="1" t="s">
        <v>164</v>
      </c>
      <c r="AA110" s="14">
        <v>34335</v>
      </c>
      <c r="AI110" s="1">
        <v>13.7</v>
      </c>
      <c r="AK110" s="2">
        <v>4.2</v>
      </c>
      <c r="AM110" s="3">
        <v>44.2</v>
      </c>
      <c r="AN110" s="1">
        <v>9.1999999999999993</v>
      </c>
      <c r="AO110" s="3">
        <v>4.5999999999999996</v>
      </c>
    </row>
    <row r="111" spans="1:41" x14ac:dyDescent="0.25">
      <c r="A111" s="1" t="s">
        <v>191</v>
      </c>
      <c r="C111" s="1" t="s">
        <v>159</v>
      </c>
      <c r="D111" s="1">
        <v>162.500629617789</v>
      </c>
      <c r="E111" s="1">
        <v>-74.500381072959698</v>
      </c>
      <c r="F111" s="1">
        <v>5000</v>
      </c>
      <c r="G111" s="1" t="s">
        <v>183</v>
      </c>
      <c r="H111" s="1">
        <v>550</v>
      </c>
      <c r="I111" s="1" t="s">
        <v>44</v>
      </c>
      <c r="J111" s="1" t="s">
        <v>133</v>
      </c>
      <c r="L111" s="1" t="s">
        <v>161</v>
      </c>
      <c r="M111" s="1" t="s">
        <v>134</v>
      </c>
      <c r="N111" s="1" t="s">
        <v>48</v>
      </c>
      <c r="O111" s="1" t="s">
        <v>49</v>
      </c>
      <c r="P111" s="1" t="s">
        <v>162</v>
      </c>
      <c r="S111" s="1">
        <v>47203</v>
      </c>
      <c r="T111" s="1" t="s">
        <v>52</v>
      </c>
      <c r="V111" s="1" t="s">
        <v>163</v>
      </c>
      <c r="W111" s="1" t="s">
        <v>54</v>
      </c>
      <c r="X111" s="1" t="s">
        <v>55</v>
      </c>
      <c r="Y111" s="1" t="s">
        <v>164</v>
      </c>
      <c r="AA111" s="14">
        <v>34335</v>
      </c>
      <c r="AI111" s="1">
        <v>13.7</v>
      </c>
      <c r="AK111" s="2">
        <v>4</v>
      </c>
      <c r="AM111" s="3">
        <v>40</v>
      </c>
      <c r="AN111" s="1">
        <v>5.4</v>
      </c>
      <c r="AO111" s="3">
        <v>2.7</v>
      </c>
    </row>
    <row r="112" spans="1:41" x14ac:dyDescent="0.25">
      <c r="A112" s="1" t="s">
        <v>192</v>
      </c>
      <c r="C112" s="1" t="s">
        <v>159</v>
      </c>
      <c r="D112" s="1">
        <v>162.500629617789</v>
      </c>
      <c r="E112" s="1">
        <v>-74.500381072959698</v>
      </c>
      <c r="F112" s="1">
        <v>5000</v>
      </c>
      <c r="G112" s="1" t="s">
        <v>183</v>
      </c>
      <c r="H112" s="1">
        <v>590</v>
      </c>
      <c r="I112" s="1" t="s">
        <v>44</v>
      </c>
      <c r="J112" s="1" t="s">
        <v>133</v>
      </c>
      <c r="L112" s="1" t="s">
        <v>161</v>
      </c>
      <c r="M112" s="1" t="s">
        <v>134</v>
      </c>
      <c r="N112" s="1" t="s">
        <v>48</v>
      </c>
      <c r="O112" s="1" t="s">
        <v>49</v>
      </c>
      <c r="P112" s="1" t="s">
        <v>162</v>
      </c>
      <c r="S112" s="1">
        <v>47204</v>
      </c>
      <c r="T112" s="1" t="s">
        <v>52</v>
      </c>
      <c r="V112" s="1" t="s">
        <v>163</v>
      </c>
      <c r="W112" s="1" t="s">
        <v>54</v>
      </c>
      <c r="X112" s="1" t="s">
        <v>55</v>
      </c>
      <c r="Y112" s="1" t="s">
        <v>164</v>
      </c>
      <c r="AA112" s="14">
        <v>34335</v>
      </c>
      <c r="AM112" s="3">
        <v>46.7</v>
      </c>
      <c r="AN112" s="1">
        <v>5.8</v>
      </c>
      <c r="AO112" s="3">
        <v>2.9</v>
      </c>
    </row>
    <row r="113" spans="1:41" x14ac:dyDescent="0.25">
      <c r="A113" s="1" t="s">
        <v>193</v>
      </c>
      <c r="C113" s="1" t="s">
        <v>159</v>
      </c>
      <c r="D113" s="1">
        <v>162.500629617789</v>
      </c>
      <c r="E113" s="1">
        <v>-74.500381072959698</v>
      </c>
      <c r="F113" s="1">
        <v>5000</v>
      </c>
      <c r="G113" s="1" t="s">
        <v>183</v>
      </c>
      <c r="H113" s="1">
        <v>30</v>
      </c>
      <c r="I113" s="1" t="s">
        <v>44</v>
      </c>
      <c r="J113" s="1" t="s">
        <v>133</v>
      </c>
      <c r="L113" s="1" t="s">
        <v>161</v>
      </c>
      <c r="M113" s="1" t="s">
        <v>134</v>
      </c>
      <c r="N113" s="1" t="s">
        <v>48</v>
      </c>
      <c r="O113" s="1" t="s">
        <v>49</v>
      </c>
      <c r="P113" s="1" t="s">
        <v>162</v>
      </c>
      <c r="S113" s="1">
        <v>47205</v>
      </c>
      <c r="T113" s="1" t="s">
        <v>52</v>
      </c>
      <c r="V113" s="1" t="s">
        <v>163</v>
      </c>
      <c r="W113" s="1" t="s">
        <v>54</v>
      </c>
      <c r="X113" s="1" t="s">
        <v>55</v>
      </c>
      <c r="Y113" s="1" t="s">
        <v>164</v>
      </c>
      <c r="AA113" s="14">
        <v>34335</v>
      </c>
      <c r="AI113" s="1">
        <v>13.8</v>
      </c>
      <c r="AK113" s="2">
        <v>3.4</v>
      </c>
      <c r="AM113" s="3">
        <v>35</v>
      </c>
      <c r="AN113" s="1">
        <v>5.4</v>
      </c>
      <c r="AO113" s="3">
        <v>2.7</v>
      </c>
    </row>
    <row r="114" spans="1:41" x14ac:dyDescent="0.25">
      <c r="A114" s="1" t="s">
        <v>194</v>
      </c>
      <c r="C114" s="1" t="s">
        <v>159</v>
      </c>
      <c r="D114" s="1">
        <v>165.96047157416899</v>
      </c>
      <c r="E114" s="1">
        <v>-73.670412865931695</v>
      </c>
      <c r="F114" s="1">
        <v>5000</v>
      </c>
      <c r="G114" s="1" t="s">
        <v>195</v>
      </c>
      <c r="H114" s="1">
        <v>1600</v>
      </c>
      <c r="I114" s="1" t="s">
        <v>44</v>
      </c>
      <c r="J114" s="1" t="s">
        <v>133</v>
      </c>
      <c r="L114" s="1" t="s">
        <v>161</v>
      </c>
      <c r="M114" s="1" t="s">
        <v>134</v>
      </c>
      <c r="N114" s="1" t="s">
        <v>48</v>
      </c>
      <c r="O114" s="1" t="s">
        <v>49</v>
      </c>
      <c r="P114" s="1" t="s">
        <v>162</v>
      </c>
      <c r="S114" s="1">
        <v>47195</v>
      </c>
      <c r="T114" s="1" t="s">
        <v>52</v>
      </c>
      <c r="V114" s="1" t="s">
        <v>163</v>
      </c>
      <c r="W114" s="1" t="s">
        <v>54</v>
      </c>
      <c r="X114" s="1" t="s">
        <v>55</v>
      </c>
      <c r="Y114" s="1" t="s">
        <v>164</v>
      </c>
      <c r="AA114" s="14">
        <v>34335</v>
      </c>
      <c r="AM114" s="3">
        <v>31.4</v>
      </c>
      <c r="AN114" s="1">
        <v>7.6</v>
      </c>
      <c r="AO114" s="3">
        <v>3.8</v>
      </c>
    </row>
    <row r="115" spans="1:41" x14ac:dyDescent="0.25">
      <c r="A115" s="1" t="s">
        <v>196</v>
      </c>
      <c r="C115" s="1" t="s">
        <v>159</v>
      </c>
      <c r="D115" s="1">
        <v>163.600584322418</v>
      </c>
      <c r="E115" s="1">
        <v>-74.350384739470599</v>
      </c>
      <c r="F115" s="1">
        <v>5000</v>
      </c>
      <c r="G115" s="1" t="s">
        <v>197</v>
      </c>
      <c r="H115" s="1">
        <v>1450</v>
      </c>
      <c r="I115" s="1" t="s">
        <v>44</v>
      </c>
      <c r="J115" s="1" t="s">
        <v>133</v>
      </c>
      <c r="L115" s="1" t="s">
        <v>161</v>
      </c>
      <c r="M115" s="1" t="s">
        <v>134</v>
      </c>
      <c r="N115" s="1" t="s">
        <v>48</v>
      </c>
      <c r="O115" s="1" t="s">
        <v>49</v>
      </c>
      <c r="P115" s="1" t="s">
        <v>162</v>
      </c>
      <c r="S115" s="1">
        <v>47192</v>
      </c>
      <c r="T115" s="1" t="s">
        <v>52</v>
      </c>
      <c r="V115" s="1" t="s">
        <v>163</v>
      </c>
      <c r="W115" s="1" t="s">
        <v>54</v>
      </c>
      <c r="X115" s="1" t="s">
        <v>55</v>
      </c>
      <c r="Y115" s="1" t="s">
        <v>164</v>
      </c>
      <c r="AA115" s="14">
        <v>34335</v>
      </c>
      <c r="AI115" s="1">
        <v>13.6</v>
      </c>
      <c r="AK115" s="2">
        <v>3.4</v>
      </c>
      <c r="AM115" s="3">
        <v>67.599999999999994</v>
      </c>
      <c r="AN115" s="1">
        <v>9.8000000000000007</v>
      </c>
      <c r="AO115" s="3">
        <v>4.9000000000000004</v>
      </c>
    </row>
    <row r="116" spans="1:41" x14ac:dyDescent="0.25">
      <c r="A116" s="1" t="s">
        <v>198</v>
      </c>
      <c r="C116" s="1" t="s">
        <v>159</v>
      </c>
      <c r="D116" s="1">
        <v>164.08059577191801</v>
      </c>
      <c r="E116" s="1">
        <v>-74.8303562502728</v>
      </c>
      <c r="F116" s="1">
        <v>5000</v>
      </c>
      <c r="G116" s="1" t="s">
        <v>199</v>
      </c>
      <c r="H116" s="1">
        <v>10</v>
      </c>
      <c r="I116" s="1" t="s">
        <v>44</v>
      </c>
      <c r="J116" s="1" t="s">
        <v>133</v>
      </c>
      <c r="L116" s="1" t="s">
        <v>161</v>
      </c>
      <c r="M116" s="1" t="s">
        <v>134</v>
      </c>
      <c r="N116" s="1" t="s">
        <v>48</v>
      </c>
      <c r="O116" s="1" t="s">
        <v>49</v>
      </c>
      <c r="P116" s="1" t="s">
        <v>162</v>
      </c>
      <c r="S116" s="1">
        <v>47188</v>
      </c>
      <c r="T116" s="1" t="s">
        <v>52</v>
      </c>
      <c r="V116" s="1" t="s">
        <v>163</v>
      </c>
      <c r="W116" s="1" t="s">
        <v>54</v>
      </c>
      <c r="X116" s="1" t="s">
        <v>55</v>
      </c>
      <c r="Y116" s="1" t="s">
        <v>164</v>
      </c>
      <c r="AA116" s="14">
        <v>34335</v>
      </c>
      <c r="AM116" s="3">
        <v>16.899999999999999</v>
      </c>
      <c r="AN116" s="1">
        <v>14</v>
      </c>
      <c r="AO116" s="3">
        <v>7</v>
      </c>
    </row>
    <row r="117" spans="1:41" x14ac:dyDescent="0.25">
      <c r="A117" s="1" t="s">
        <v>200</v>
      </c>
      <c r="C117" s="1" t="s">
        <v>159</v>
      </c>
      <c r="D117" s="1">
        <v>163.65061475175</v>
      </c>
      <c r="E117" s="1">
        <v>-74.9003541232548</v>
      </c>
      <c r="F117" s="1">
        <v>5000</v>
      </c>
      <c r="G117" s="1" t="s">
        <v>201</v>
      </c>
      <c r="H117" s="1">
        <v>10</v>
      </c>
      <c r="I117" s="1" t="s">
        <v>44</v>
      </c>
      <c r="J117" s="1" t="s">
        <v>167</v>
      </c>
      <c r="L117" s="1" t="s">
        <v>168</v>
      </c>
      <c r="M117" s="1" t="s">
        <v>169</v>
      </c>
      <c r="N117" s="1" t="s">
        <v>48</v>
      </c>
      <c r="O117" s="1" t="s">
        <v>49</v>
      </c>
      <c r="P117" s="1" t="s">
        <v>162</v>
      </c>
      <c r="S117" s="1">
        <v>47185</v>
      </c>
      <c r="T117" s="1" t="s">
        <v>52</v>
      </c>
      <c r="V117" s="1" t="s">
        <v>163</v>
      </c>
      <c r="W117" s="1" t="s">
        <v>54</v>
      </c>
      <c r="X117" s="1" t="s">
        <v>55</v>
      </c>
      <c r="Y117" s="1" t="s">
        <v>164</v>
      </c>
      <c r="AA117" s="14">
        <v>34335</v>
      </c>
      <c r="AM117" s="3">
        <v>29.4</v>
      </c>
      <c r="AN117" s="1">
        <v>4.5999999999999996</v>
      </c>
      <c r="AO117" s="3">
        <v>2.2999999999999998</v>
      </c>
    </row>
    <row r="118" spans="1:41" x14ac:dyDescent="0.25">
      <c r="A118" s="1" t="s">
        <v>202</v>
      </c>
      <c r="C118" s="1" t="s">
        <v>159</v>
      </c>
      <c r="D118" s="1">
        <v>162.900604645534</v>
      </c>
      <c r="E118" s="1">
        <v>-74.300390409917497</v>
      </c>
      <c r="F118" s="1">
        <v>5000</v>
      </c>
      <c r="G118" s="1" t="s">
        <v>203</v>
      </c>
      <c r="H118" s="1">
        <v>900</v>
      </c>
      <c r="I118" s="1" t="s">
        <v>44</v>
      </c>
      <c r="J118" s="1" t="s">
        <v>167</v>
      </c>
      <c r="L118" s="1" t="s">
        <v>168</v>
      </c>
      <c r="M118" s="1" t="s">
        <v>169</v>
      </c>
      <c r="N118" s="1" t="s">
        <v>48</v>
      </c>
      <c r="O118" s="1" t="s">
        <v>49</v>
      </c>
      <c r="P118" s="1" t="s">
        <v>162</v>
      </c>
      <c r="S118" s="1">
        <v>47190</v>
      </c>
      <c r="T118" s="1" t="s">
        <v>52</v>
      </c>
      <c r="V118" s="1" t="s">
        <v>163</v>
      </c>
      <c r="W118" s="1" t="s">
        <v>54</v>
      </c>
      <c r="X118" s="1" t="s">
        <v>55</v>
      </c>
      <c r="Y118" s="1" t="s">
        <v>164</v>
      </c>
      <c r="AA118" s="14">
        <v>34335</v>
      </c>
      <c r="AM118" s="3">
        <v>41.9</v>
      </c>
      <c r="AN118" s="1">
        <v>9.6</v>
      </c>
      <c r="AO118" s="3">
        <v>4.8</v>
      </c>
    </row>
    <row r="119" spans="1:41" x14ac:dyDescent="0.25">
      <c r="A119" s="1" t="s">
        <v>204</v>
      </c>
      <c r="C119" s="1" t="s">
        <v>159</v>
      </c>
      <c r="D119" s="1">
        <v>163.83059669270901</v>
      </c>
      <c r="E119" s="1">
        <v>-74.700364462287496</v>
      </c>
      <c r="F119" s="1">
        <v>5000</v>
      </c>
      <c r="G119" s="1" t="s">
        <v>205</v>
      </c>
      <c r="H119" s="1">
        <v>100</v>
      </c>
      <c r="I119" s="1" t="s">
        <v>44</v>
      </c>
      <c r="J119" s="1" t="s">
        <v>167</v>
      </c>
      <c r="L119" s="1" t="s">
        <v>168</v>
      </c>
      <c r="M119" s="1" t="s">
        <v>169</v>
      </c>
      <c r="N119" s="1" t="s">
        <v>48</v>
      </c>
      <c r="O119" s="1" t="s">
        <v>49</v>
      </c>
      <c r="P119" s="1" t="s">
        <v>162</v>
      </c>
      <c r="S119" s="1">
        <v>47187</v>
      </c>
      <c r="T119" s="1" t="s">
        <v>52</v>
      </c>
      <c r="V119" s="1" t="s">
        <v>163</v>
      </c>
      <c r="W119" s="1" t="s">
        <v>54</v>
      </c>
      <c r="X119" s="1" t="s">
        <v>55</v>
      </c>
      <c r="Y119" s="1" t="s">
        <v>164</v>
      </c>
      <c r="AA119" s="14">
        <v>34335</v>
      </c>
      <c r="AM119" s="3">
        <v>43.8</v>
      </c>
      <c r="AN119" s="1">
        <v>13.4</v>
      </c>
      <c r="AO119" s="3">
        <v>6.7</v>
      </c>
    </row>
    <row r="120" spans="1:41" x14ac:dyDescent="0.25">
      <c r="A120" s="1" t="s">
        <v>206</v>
      </c>
      <c r="C120" s="1" t="s">
        <v>159</v>
      </c>
      <c r="D120" s="1">
        <v>163.68060297518599</v>
      </c>
      <c r="E120" s="1">
        <v>-74.720363968950593</v>
      </c>
      <c r="F120" s="1">
        <v>5000</v>
      </c>
      <c r="G120" s="1" t="s">
        <v>207</v>
      </c>
      <c r="H120" s="1">
        <v>100</v>
      </c>
      <c r="I120" s="1" t="s">
        <v>44</v>
      </c>
      <c r="J120" s="1" t="s">
        <v>133</v>
      </c>
      <c r="L120" s="1" t="s">
        <v>161</v>
      </c>
      <c r="M120" s="1" t="s">
        <v>134</v>
      </c>
      <c r="N120" s="1" t="s">
        <v>48</v>
      </c>
      <c r="O120" s="1" t="s">
        <v>49</v>
      </c>
      <c r="P120" s="1" t="s">
        <v>162</v>
      </c>
      <c r="S120" s="1">
        <v>47186</v>
      </c>
      <c r="T120" s="1" t="s">
        <v>52</v>
      </c>
      <c r="V120" s="1" t="s">
        <v>163</v>
      </c>
      <c r="W120" s="1" t="s">
        <v>54</v>
      </c>
      <c r="X120" s="1" t="s">
        <v>55</v>
      </c>
      <c r="Y120" s="1" t="s">
        <v>164</v>
      </c>
      <c r="AA120" s="14">
        <v>34335</v>
      </c>
      <c r="AM120" s="3">
        <v>37.5</v>
      </c>
      <c r="AN120" s="1">
        <v>3.6</v>
      </c>
      <c r="AO120" s="3">
        <v>1.8</v>
      </c>
    </row>
    <row r="121" spans="1:41" x14ac:dyDescent="0.25">
      <c r="A121" s="1" t="s">
        <v>208</v>
      </c>
      <c r="C121" s="1" t="s">
        <v>159</v>
      </c>
      <c r="D121" s="1">
        <v>163.00057358017401</v>
      </c>
      <c r="E121" s="1">
        <v>-73.800417490117397</v>
      </c>
      <c r="F121" s="1">
        <v>5000</v>
      </c>
      <c r="G121" s="1" t="s">
        <v>209</v>
      </c>
      <c r="H121" s="1">
        <v>3120</v>
      </c>
      <c r="I121" s="1" t="s">
        <v>44</v>
      </c>
      <c r="J121" s="1" t="s">
        <v>133</v>
      </c>
      <c r="L121" s="1" t="s">
        <v>161</v>
      </c>
      <c r="M121" s="1" t="s">
        <v>134</v>
      </c>
      <c r="N121" s="1" t="s">
        <v>48</v>
      </c>
      <c r="O121" s="1" t="s">
        <v>49</v>
      </c>
      <c r="P121" s="1" t="s">
        <v>162</v>
      </c>
      <c r="S121" s="1">
        <v>47213</v>
      </c>
      <c r="T121" s="1" t="s">
        <v>52</v>
      </c>
      <c r="V121" s="1" t="s">
        <v>163</v>
      </c>
      <c r="W121" s="1" t="s">
        <v>54</v>
      </c>
      <c r="X121" s="1" t="s">
        <v>55</v>
      </c>
      <c r="Y121" s="1" t="s">
        <v>164</v>
      </c>
      <c r="AA121" s="14">
        <v>34335</v>
      </c>
      <c r="AI121" s="1">
        <v>11.5</v>
      </c>
      <c r="AK121" s="2">
        <v>5.6</v>
      </c>
      <c r="AM121" s="3">
        <v>270</v>
      </c>
      <c r="AN121" s="1">
        <v>48</v>
      </c>
      <c r="AO121" s="3">
        <v>24</v>
      </c>
    </row>
    <row r="122" spans="1:41" x14ac:dyDescent="0.25">
      <c r="A122" s="1" t="s">
        <v>210</v>
      </c>
      <c r="C122" s="1" t="s">
        <v>159</v>
      </c>
      <c r="D122" s="1">
        <v>163.500552295549</v>
      </c>
      <c r="E122" s="1">
        <v>-73.700420896719805</v>
      </c>
      <c r="F122" s="1">
        <v>5000</v>
      </c>
      <c r="G122" s="1" t="s">
        <v>211</v>
      </c>
      <c r="H122" s="1">
        <v>2700</v>
      </c>
      <c r="I122" s="1" t="s">
        <v>44</v>
      </c>
      <c r="J122" s="1" t="s">
        <v>133</v>
      </c>
      <c r="L122" s="1" t="s">
        <v>161</v>
      </c>
      <c r="M122" s="1" t="s">
        <v>134</v>
      </c>
      <c r="N122" s="1" t="s">
        <v>48</v>
      </c>
      <c r="O122" s="1" t="s">
        <v>49</v>
      </c>
      <c r="P122" s="1" t="s">
        <v>162</v>
      </c>
      <c r="S122" s="1">
        <v>47229</v>
      </c>
      <c r="T122" s="1" t="s">
        <v>52</v>
      </c>
      <c r="V122" s="1" t="s">
        <v>163</v>
      </c>
      <c r="W122" s="1" t="s">
        <v>54</v>
      </c>
      <c r="X122" s="1" t="s">
        <v>55</v>
      </c>
      <c r="Y122" s="1" t="s">
        <v>164</v>
      </c>
      <c r="AA122" s="14">
        <v>34335</v>
      </c>
      <c r="AI122" s="1">
        <v>13.9</v>
      </c>
      <c r="AK122" s="2">
        <v>3</v>
      </c>
      <c r="AM122" s="3">
        <v>37.200000000000003</v>
      </c>
      <c r="AN122" s="1">
        <v>8.1999999999999993</v>
      </c>
      <c r="AO122" s="3">
        <v>4.0999999999999996</v>
      </c>
    </row>
    <row r="123" spans="1:41" x14ac:dyDescent="0.25">
      <c r="A123" s="1" t="s">
        <v>212</v>
      </c>
      <c r="C123" s="1" t="s">
        <v>159</v>
      </c>
      <c r="D123" s="1">
        <v>163.500552295549</v>
      </c>
      <c r="E123" s="1">
        <v>-73.700420896719805</v>
      </c>
      <c r="F123" s="1">
        <v>5000</v>
      </c>
      <c r="G123" s="1" t="s">
        <v>211</v>
      </c>
      <c r="H123" s="1">
        <v>2720</v>
      </c>
      <c r="I123" s="1" t="s">
        <v>44</v>
      </c>
      <c r="J123" s="1" t="s">
        <v>133</v>
      </c>
      <c r="L123" s="1" t="s">
        <v>161</v>
      </c>
      <c r="M123" s="1" t="s">
        <v>134</v>
      </c>
      <c r="N123" s="1" t="s">
        <v>48</v>
      </c>
      <c r="O123" s="1" t="s">
        <v>49</v>
      </c>
      <c r="P123" s="1" t="s">
        <v>162</v>
      </c>
      <c r="S123" s="1">
        <v>47228</v>
      </c>
      <c r="T123" s="1" t="s">
        <v>52</v>
      </c>
      <c r="V123" s="1" t="s">
        <v>163</v>
      </c>
      <c r="W123" s="1" t="s">
        <v>54</v>
      </c>
      <c r="X123" s="1" t="s">
        <v>55</v>
      </c>
      <c r="Y123" s="1" t="s">
        <v>164</v>
      </c>
      <c r="AA123" s="14">
        <v>34335</v>
      </c>
      <c r="AM123" s="3">
        <v>40.5</v>
      </c>
      <c r="AN123" s="1">
        <v>7.6</v>
      </c>
      <c r="AO123" s="3">
        <v>3.8</v>
      </c>
    </row>
    <row r="124" spans="1:41" x14ac:dyDescent="0.25">
      <c r="A124" s="1" t="s">
        <v>213</v>
      </c>
      <c r="C124" s="1" t="s">
        <v>159</v>
      </c>
      <c r="D124" s="1">
        <v>163.00057358017401</v>
      </c>
      <c r="E124" s="1">
        <v>-73.800417490117397</v>
      </c>
      <c r="F124" s="1">
        <v>5000</v>
      </c>
      <c r="G124" s="1" t="s">
        <v>209</v>
      </c>
      <c r="H124" s="1">
        <v>3000</v>
      </c>
      <c r="I124" s="1" t="s">
        <v>44</v>
      </c>
      <c r="J124" s="1" t="s">
        <v>133</v>
      </c>
      <c r="L124" s="1" t="s">
        <v>161</v>
      </c>
      <c r="M124" s="1" t="s">
        <v>134</v>
      </c>
      <c r="N124" s="1" t="s">
        <v>48</v>
      </c>
      <c r="O124" s="1" t="s">
        <v>49</v>
      </c>
      <c r="P124" s="1" t="s">
        <v>162</v>
      </c>
      <c r="S124" s="1">
        <v>47214</v>
      </c>
      <c r="T124" s="1" t="s">
        <v>52</v>
      </c>
      <c r="V124" s="1" t="s">
        <v>163</v>
      </c>
      <c r="W124" s="1" t="s">
        <v>54</v>
      </c>
      <c r="X124" s="1" t="s">
        <v>55</v>
      </c>
      <c r="Y124" s="1" t="s">
        <v>164</v>
      </c>
      <c r="AA124" s="14">
        <v>34335</v>
      </c>
      <c r="AI124" s="1">
        <v>12.3</v>
      </c>
      <c r="AK124" s="2">
        <v>4.4000000000000004</v>
      </c>
      <c r="AM124" s="3">
        <v>208</v>
      </c>
      <c r="AN124" s="1">
        <v>38</v>
      </c>
      <c r="AO124" s="3">
        <v>19</v>
      </c>
    </row>
    <row r="125" spans="1:41" x14ac:dyDescent="0.25">
      <c r="A125" s="1" t="s">
        <v>214</v>
      </c>
      <c r="C125" s="1" t="s">
        <v>159</v>
      </c>
      <c r="D125" s="1">
        <v>163.00057358017401</v>
      </c>
      <c r="E125" s="1">
        <v>-73.800417490117397</v>
      </c>
      <c r="F125" s="1">
        <v>5000</v>
      </c>
      <c r="G125" s="1" t="s">
        <v>209</v>
      </c>
      <c r="H125" s="1">
        <v>2760</v>
      </c>
      <c r="I125" s="1" t="s">
        <v>44</v>
      </c>
      <c r="J125" s="1" t="s">
        <v>133</v>
      </c>
      <c r="L125" s="1" t="s">
        <v>161</v>
      </c>
      <c r="M125" s="1" t="s">
        <v>134</v>
      </c>
      <c r="N125" s="1" t="s">
        <v>48</v>
      </c>
      <c r="O125" s="1" t="s">
        <v>49</v>
      </c>
      <c r="P125" s="1" t="s">
        <v>162</v>
      </c>
      <c r="S125" s="1">
        <v>47215</v>
      </c>
      <c r="T125" s="1" t="s">
        <v>52</v>
      </c>
      <c r="V125" s="1" t="s">
        <v>163</v>
      </c>
      <c r="W125" s="1" t="s">
        <v>54</v>
      </c>
      <c r="X125" s="1" t="s">
        <v>55</v>
      </c>
      <c r="Y125" s="1" t="s">
        <v>164</v>
      </c>
      <c r="AA125" s="14">
        <v>34335</v>
      </c>
      <c r="AI125" s="1">
        <v>12.7</v>
      </c>
      <c r="AK125" s="2">
        <v>4.5999999999999996</v>
      </c>
      <c r="AM125" s="3">
        <v>192</v>
      </c>
      <c r="AN125" s="1">
        <v>32</v>
      </c>
      <c r="AO125" s="3">
        <v>16</v>
      </c>
    </row>
    <row r="126" spans="1:41" x14ac:dyDescent="0.25">
      <c r="A126" s="1" t="s">
        <v>215</v>
      </c>
      <c r="C126" s="1" t="s">
        <v>159</v>
      </c>
      <c r="D126" s="1">
        <v>163.00057358017401</v>
      </c>
      <c r="E126" s="1">
        <v>-73.800417490117397</v>
      </c>
      <c r="F126" s="1">
        <v>5000</v>
      </c>
      <c r="G126" s="1" t="s">
        <v>209</v>
      </c>
      <c r="H126" s="1">
        <v>2470</v>
      </c>
      <c r="I126" s="1" t="s">
        <v>44</v>
      </c>
      <c r="J126" s="1" t="s">
        <v>133</v>
      </c>
      <c r="L126" s="1" t="s">
        <v>161</v>
      </c>
      <c r="M126" s="1" t="s">
        <v>134</v>
      </c>
      <c r="N126" s="1" t="s">
        <v>48</v>
      </c>
      <c r="O126" s="1" t="s">
        <v>49</v>
      </c>
      <c r="P126" s="1" t="s">
        <v>162</v>
      </c>
      <c r="S126" s="1">
        <v>47216</v>
      </c>
      <c r="T126" s="1" t="s">
        <v>52</v>
      </c>
      <c r="V126" s="1" t="s">
        <v>163</v>
      </c>
      <c r="W126" s="1" t="s">
        <v>54</v>
      </c>
      <c r="X126" s="1" t="s">
        <v>55</v>
      </c>
      <c r="Y126" s="1" t="s">
        <v>164</v>
      </c>
      <c r="AA126" s="14">
        <v>34335</v>
      </c>
      <c r="AI126" s="1">
        <v>13.2</v>
      </c>
      <c r="AK126" s="2">
        <v>3.4</v>
      </c>
      <c r="AM126" s="3">
        <v>111</v>
      </c>
      <c r="AN126" s="1">
        <v>20</v>
      </c>
      <c r="AO126" s="3">
        <v>10</v>
      </c>
    </row>
    <row r="127" spans="1:41" x14ac:dyDescent="0.25">
      <c r="A127" s="1" t="s">
        <v>216</v>
      </c>
      <c r="C127" s="1" t="s">
        <v>159</v>
      </c>
      <c r="D127" s="1">
        <v>163.00057358017401</v>
      </c>
      <c r="E127" s="1">
        <v>-73.800417490117397</v>
      </c>
      <c r="F127" s="1">
        <v>5000</v>
      </c>
      <c r="G127" s="1" t="s">
        <v>209</v>
      </c>
      <c r="H127" s="1">
        <v>1800</v>
      </c>
      <c r="I127" s="1" t="s">
        <v>44</v>
      </c>
      <c r="J127" s="1" t="s">
        <v>133</v>
      </c>
      <c r="L127" s="1" t="s">
        <v>161</v>
      </c>
      <c r="M127" s="1" t="s">
        <v>134</v>
      </c>
      <c r="N127" s="1" t="s">
        <v>48</v>
      </c>
      <c r="O127" s="1" t="s">
        <v>49</v>
      </c>
      <c r="P127" s="1" t="s">
        <v>162</v>
      </c>
      <c r="S127" s="1">
        <v>47217</v>
      </c>
      <c r="T127" s="1" t="s">
        <v>52</v>
      </c>
      <c r="V127" s="1" t="s">
        <v>163</v>
      </c>
      <c r="W127" s="1" t="s">
        <v>54</v>
      </c>
      <c r="X127" s="1" t="s">
        <v>55</v>
      </c>
      <c r="Y127" s="1" t="s">
        <v>164</v>
      </c>
      <c r="AA127" s="14">
        <v>34335</v>
      </c>
      <c r="AI127" s="1">
        <v>13.4</v>
      </c>
      <c r="AK127" s="2">
        <v>3.6</v>
      </c>
      <c r="AM127" s="3">
        <v>86.7</v>
      </c>
      <c r="AN127" s="1">
        <v>14.6</v>
      </c>
      <c r="AO127" s="3">
        <v>7.3</v>
      </c>
    </row>
    <row r="128" spans="1:41" x14ac:dyDescent="0.25">
      <c r="A128" s="1" t="s">
        <v>217</v>
      </c>
      <c r="C128" s="1" t="s">
        <v>159</v>
      </c>
      <c r="D128" s="1">
        <v>163.50057371033901</v>
      </c>
      <c r="E128" s="1">
        <v>-74.100398924826607</v>
      </c>
      <c r="F128" s="1">
        <v>5000</v>
      </c>
      <c r="G128" s="1" t="s">
        <v>218</v>
      </c>
      <c r="H128" s="1">
        <v>2260</v>
      </c>
      <c r="I128" s="1" t="s">
        <v>44</v>
      </c>
      <c r="J128" s="1" t="s">
        <v>133</v>
      </c>
      <c r="L128" s="1" t="s">
        <v>161</v>
      </c>
      <c r="M128" s="1" t="s">
        <v>134</v>
      </c>
      <c r="N128" s="1" t="s">
        <v>48</v>
      </c>
      <c r="O128" s="1" t="s">
        <v>49</v>
      </c>
      <c r="P128" s="1" t="s">
        <v>162</v>
      </c>
      <c r="S128" s="1">
        <v>47218</v>
      </c>
      <c r="T128" s="1" t="s">
        <v>52</v>
      </c>
      <c r="V128" s="1" t="s">
        <v>163</v>
      </c>
      <c r="W128" s="1" t="s">
        <v>54</v>
      </c>
      <c r="X128" s="1" t="s">
        <v>55</v>
      </c>
      <c r="Y128" s="1" t="s">
        <v>164</v>
      </c>
      <c r="AA128" s="14">
        <v>34335</v>
      </c>
      <c r="AI128" s="1">
        <v>14.1</v>
      </c>
      <c r="AK128" s="2">
        <v>2.6</v>
      </c>
      <c r="AM128" s="3">
        <v>47.9</v>
      </c>
      <c r="AN128" s="1">
        <v>7</v>
      </c>
      <c r="AO128" s="3">
        <v>3.5</v>
      </c>
    </row>
    <row r="129" spans="1:41" x14ac:dyDescent="0.25">
      <c r="A129" s="1" t="s">
        <v>219</v>
      </c>
      <c r="C129" s="1" t="s">
        <v>159</v>
      </c>
      <c r="D129" s="1">
        <v>163.50057371033901</v>
      </c>
      <c r="E129" s="1">
        <v>-74.100398924826607</v>
      </c>
      <c r="F129" s="1">
        <v>5000</v>
      </c>
      <c r="G129" s="1" t="s">
        <v>218</v>
      </c>
      <c r="H129" s="1">
        <v>900</v>
      </c>
      <c r="I129" s="1" t="s">
        <v>44</v>
      </c>
      <c r="J129" s="1" t="s">
        <v>133</v>
      </c>
      <c r="L129" s="1" t="s">
        <v>161</v>
      </c>
      <c r="M129" s="1" t="s">
        <v>134</v>
      </c>
      <c r="N129" s="1" t="s">
        <v>48</v>
      </c>
      <c r="O129" s="1" t="s">
        <v>49</v>
      </c>
      <c r="P129" s="1" t="s">
        <v>162</v>
      </c>
      <c r="S129" s="1">
        <v>47227</v>
      </c>
      <c r="T129" s="1" t="s">
        <v>52</v>
      </c>
      <c r="V129" s="1" t="s">
        <v>163</v>
      </c>
      <c r="W129" s="1" t="s">
        <v>54</v>
      </c>
      <c r="X129" s="1" t="s">
        <v>55</v>
      </c>
      <c r="Y129" s="1" t="s">
        <v>164</v>
      </c>
      <c r="AA129" s="14">
        <v>34335</v>
      </c>
      <c r="AI129" s="1">
        <v>13.9</v>
      </c>
      <c r="AK129" s="2">
        <v>3.6</v>
      </c>
      <c r="AM129" s="3">
        <v>45.1</v>
      </c>
      <c r="AN129" s="1">
        <v>8.4</v>
      </c>
      <c r="AO129" s="3">
        <v>4.2</v>
      </c>
    </row>
    <row r="130" spans="1:41" x14ac:dyDescent="0.25">
      <c r="A130" s="1" t="s">
        <v>220</v>
      </c>
      <c r="C130" s="1" t="s">
        <v>159</v>
      </c>
      <c r="D130" s="1">
        <v>163.50057371033901</v>
      </c>
      <c r="E130" s="1">
        <v>-74.100398924826607</v>
      </c>
      <c r="F130" s="1">
        <v>5000</v>
      </c>
      <c r="G130" s="1" t="s">
        <v>218</v>
      </c>
      <c r="H130" s="1">
        <v>2100</v>
      </c>
      <c r="I130" s="1" t="s">
        <v>44</v>
      </c>
      <c r="J130" s="1" t="s">
        <v>133</v>
      </c>
      <c r="L130" s="1" t="s">
        <v>161</v>
      </c>
      <c r="M130" s="1" t="s">
        <v>134</v>
      </c>
      <c r="N130" s="1" t="s">
        <v>48</v>
      </c>
      <c r="O130" s="1" t="s">
        <v>49</v>
      </c>
      <c r="P130" s="1" t="s">
        <v>162</v>
      </c>
      <c r="S130" s="1">
        <v>47219</v>
      </c>
      <c r="T130" s="1" t="s">
        <v>52</v>
      </c>
      <c r="V130" s="1" t="s">
        <v>163</v>
      </c>
      <c r="W130" s="1" t="s">
        <v>54</v>
      </c>
      <c r="X130" s="1" t="s">
        <v>55</v>
      </c>
      <c r="Y130" s="1" t="s">
        <v>164</v>
      </c>
      <c r="AA130" s="14">
        <v>34335</v>
      </c>
      <c r="AM130" s="3">
        <v>47.7</v>
      </c>
      <c r="AN130" s="1">
        <v>8.8000000000000007</v>
      </c>
      <c r="AO130" s="3">
        <v>4.4000000000000004</v>
      </c>
    </row>
    <row r="131" spans="1:41" x14ac:dyDescent="0.25">
      <c r="A131" s="1" t="s">
        <v>221</v>
      </c>
      <c r="C131" s="1" t="s">
        <v>159</v>
      </c>
      <c r="D131" s="1">
        <v>163.50057371033901</v>
      </c>
      <c r="E131" s="1">
        <v>-74.100398924826607</v>
      </c>
      <c r="F131" s="1">
        <v>5000</v>
      </c>
      <c r="G131" s="1" t="s">
        <v>218</v>
      </c>
      <c r="H131" s="1">
        <v>1970</v>
      </c>
      <c r="I131" s="1" t="s">
        <v>44</v>
      </c>
      <c r="J131" s="1" t="s">
        <v>133</v>
      </c>
      <c r="L131" s="1" t="s">
        <v>161</v>
      </c>
      <c r="M131" s="1" t="s">
        <v>134</v>
      </c>
      <c r="N131" s="1" t="s">
        <v>48</v>
      </c>
      <c r="O131" s="1" t="s">
        <v>49</v>
      </c>
      <c r="P131" s="1" t="s">
        <v>162</v>
      </c>
      <c r="S131" s="1">
        <v>47220</v>
      </c>
      <c r="T131" s="1" t="s">
        <v>52</v>
      </c>
      <c r="V131" s="1" t="s">
        <v>163</v>
      </c>
      <c r="W131" s="1" t="s">
        <v>54</v>
      </c>
      <c r="X131" s="1" t="s">
        <v>55</v>
      </c>
      <c r="Y131" s="1" t="s">
        <v>164</v>
      </c>
      <c r="AA131" s="14">
        <v>34335</v>
      </c>
      <c r="AM131" s="3">
        <v>47.5</v>
      </c>
      <c r="AN131" s="1">
        <v>6</v>
      </c>
      <c r="AO131" s="3">
        <v>3</v>
      </c>
    </row>
    <row r="132" spans="1:41" x14ac:dyDescent="0.25">
      <c r="A132" s="1" t="s">
        <v>222</v>
      </c>
      <c r="C132" s="1" t="s">
        <v>159</v>
      </c>
      <c r="D132" s="1">
        <v>163.50057371033901</v>
      </c>
      <c r="E132" s="1">
        <v>-74.100398924826607</v>
      </c>
      <c r="F132" s="1">
        <v>5000</v>
      </c>
      <c r="G132" s="1" t="s">
        <v>218</v>
      </c>
      <c r="H132" s="1">
        <v>1830</v>
      </c>
      <c r="I132" s="1" t="s">
        <v>44</v>
      </c>
      <c r="J132" s="1" t="s">
        <v>133</v>
      </c>
      <c r="L132" s="1" t="s">
        <v>161</v>
      </c>
      <c r="M132" s="1" t="s">
        <v>134</v>
      </c>
      <c r="N132" s="1" t="s">
        <v>48</v>
      </c>
      <c r="O132" s="1" t="s">
        <v>49</v>
      </c>
      <c r="P132" s="1" t="s">
        <v>162</v>
      </c>
      <c r="S132" s="1">
        <v>47221</v>
      </c>
      <c r="T132" s="1" t="s">
        <v>52</v>
      </c>
      <c r="V132" s="1" t="s">
        <v>163</v>
      </c>
      <c r="W132" s="1" t="s">
        <v>54</v>
      </c>
      <c r="X132" s="1" t="s">
        <v>55</v>
      </c>
      <c r="Y132" s="1" t="s">
        <v>164</v>
      </c>
      <c r="AA132" s="14">
        <v>34335</v>
      </c>
      <c r="AM132" s="3">
        <v>45.1</v>
      </c>
      <c r="AN132" s="1">
        <v>6.6</v>
      </c>
      <c r="AO132" s="3">
        <v>3.3</v>
      </c>
    </row>
    <row r="133" spans="1:41" x14ac:dyDescent="0.25">
      <c r="A133" s="1" t="s">
        <v>223</v>
      </c>
      <c r="C133" s="1" t="s">
        <v>159</v>
      </c>
      <c r="D133" s="1">
        <v>163.50057371033901</v>
      </c>
      <c r="E133" s="1">
        <v>-74.100398924826607</v>
      </c>
      <c r="F133" s="1">
        <v>5000</v>
      </c>
      <c r="G133" s="1" t="s">
        <v>218</v>
      </c>
      <c r="H133" s="1">
        <v>1680</v>
      </c>
      <c r="I133" s="1" t="s">
        <v>44</v>
      </c>
      <c r="J133" s="1" t="s">
        <v>133</v>
      </c>
      <c r="L133" s="1" t="s">
        <v>161</v>
      </c>
      <c r="M133" s="1" t="s">
        <v>134</v>
      </c>
      <c r="N133" s="1" t="s">
        <v>48</v>
      </c>
      <c r="O133" s="1" t="s">
        <v>49</v>
      </c>
      <c r="P133" s="1" t="s">
        <v>162</v>
      </c>
      <c r="S133" s="1">
        <v>47222</v>
      </c>
      <c r="T133" s="1" t="s">
        <v>52</v>
      </c>
      <c r="V133" s="1" t="s">
        <v>163</v>
      </c>
      <c r="W133" s="1" t="s">
        <v>54</v>
      </c>
      <c r="X133" s="1" t="s">
        <v>55</v>
      </c>
      <c r="Y133" s="1" t="s">
        <v>164</v>
      </c>
      <c r="AA133" s="14">
        <v>34335</v>
      </c>
      <c r="AM133" s="3">
        <v>45.8</v>
      </c>
      <c r="AN133" s="1">
        <v>7.2</v>
      </c>
      <c r="AO133" s="3">
        <v>3.6</v>
      </c>
    </row>
    <row r="134" spans="1:41" x14ac:dyDescent="0.25">
      <c r="A134" s="1" t="s">
        <v>224</v>
      </c>
      <c r="C134" s="1" t="s">
        <v>159</v>
      </c>
      <c r="D134" s="1">
        <v>163.50057371033901</v>
      </c>
      <c r="E134" s="1">
        <v>-74.100398924826607</v>
      </c>
      <c r="F134" s="1">
        <v>5000</v>
      </c>
      <c r="G134" s="1" t="s">
        <v>218</v>
      </c>
      <c r="H134" s="1">
        <v>1540</v>
      </c>
      <c r="I134" s="1" t="s">
        <v>44</v>
      </c>
      <c r="J134" s="1" t="s">
        <v>133</v>
      </c>
      <c r="L134" s="1" t="s">
        <v>161</v>
      </c>
      <c r="M134" s="1" t="s">
        <v>134</v>
      </c>
      <c r="N134" s="1" t="s">
        <v>48</v>
      </c>
      <c r="O134" s="1" t="s">
        <v>49</v>
      </c>
      <c r="P134" s="1" t="s">
        <v>162</v>
      </c>
      <c r="S134" s="1">
        <v>47223</v>
      </c>
      <c r="T134" s="1" t="s">
        <v>52</v>
      </c>
      <c r="V134" s="1" t="s">
        <v>163</v>
      </c>
      <c r="W134" s="1" t="s">
        <v>54</v>
      </c>
      <c r="X134" s="1" t="s">
        <v>55</v>
      </c>
      <c r="Y134" s="1" t="s">
        <v>164</v>
      </c>
      <c r="AA134" s="14">
        <v>34335</v>
      </c>
      <c r="AM134" s="3">
        <v>42.3</v>
      </c>
      <c r="AN134" s="1">
        <v>6</v>
      </c>
      <c r="AO134" s="3">
        <v>3</v>
      </c>
    </row>
    <row r="135" spans="1:41" x14ac:dyDescent="0.25">
      <c r="A135" s="1" t="s">
        <v>225</v>
      </c>
      <c r="C135" s="1" t="s">
        <v>159</v>
      </c>
      <c r="D135" s="1">
        <v>163.50057371033901</v>
      </c>
      <c r="E135" s="1">
        <v>-74.100398924826607</v>
      </c>
      <c r="F135" s="1">
        <v>5000</v>
      </c>
      <c r="G135" s="1" t="s">
        <v>218</v>
      </c>
      <c r="H135" s="1">
        <v>1360</v>
      </c>
      <c r="I135" s="1" t="s">
        <v>44</v>
      </c>
      <c r="J135" s="1" t="s">
        <v>133</v>
      </c>
      <c r="L135" s="1" t="s">
        <v>161</v>
      </c>
      <c r="M135" s="1" t="s">
        <v>134</v>
      </c>
      <c r="N135" s="1" t="s">
        <v>48</v>
      </c>
      <c r="O135" s="1" t="s">
        <v>49</v>
      </c>
      <c r="P135" s="1" t="s">
        <v>162</v>
      </c>
      <c r="S135" s="1">
        <v>47224</v>
      </c>
      <c r="T135" s="1" t="s">
        <v>52</v>
      </c>
      <c r="V135" s="1" t="s">
        <v>163</v>
      </c>
      <c r="W135" s="1" t="s">
        <v>54</v>
      </c>
      <c r="X135" s="1" t="s">
        <v>55</v>
      </c>
      <c r="Y135" s="1" t="s">
        <v>164</v>
      </c>
      <c r="AA135" s="14">
        <v>34335</v>
      </c>
      <c r="AI135" s="1">
        <v>14</v>
      </c>
      <c r="AK135" s="2">
        <v>3.4</v>
      </c>
      <c r="AM135" s="3">
        <v>47.4</v>
      </c>
      <c r="AN135" s="1">
        <v>6.2</v>
      </c>
      <c r="AO135" s="3">
        <v>3.1</v>
      </c>
    </row>
    <row r="136" spans="1:41" x14ac:dyDescent="0.25">
      <c r="A136" s="1" t="s">
        <v>226</v>
      </c>
      <c r="C136" s="1" t="s">
        <v>159</v>
      </c>
      <c r="D136" s="1">
        <v>163.50057371033901</v>
      </c>
      <c r="E136" s="1">
        <v>-74.100398924826607</v>
      </c>
      <c r="F136" s="1">
        <v>5000</v>
      </c>
      <c r="G136" s="1" t="s">
        <v>218</v>
      </c>
      <c r="H136" s="1">
        <v>1230</v>
      </c>
      <c r="I136" s="1" t="s">
        <v>44</v>
      </c>
      <c r="J136" s="1" t="s">
        <v>133</v>
      </c>
      <c r="L136" s="1" t="s">
        <v>161</v>
      </c>
      <c r="M136" s="1" t="s">
        <v>134</v>
      </c>
      <c r="N136" s="1" t="s">
        <v>48</v>
      </c>
      <c r="O136" s="1" t="s">
        <v>49</v>
      </c>
      <c r="P136" s="1" t="s">
        <v>162</v>
      </c>
      <c r="S136" s="1">
        <v>47225</v>
      </c>
      <c r="T136" s="1" t="s">
        <v>52</v>
      </c>
      <c r="V136" s="1" t="s">
        <v>163</v>
      </c>
      <c r="W136" s="1" t="s">
        <v>54</v>
      </c>
      <c r="X136" s="1" t="s">
        <v>55</v>
      </c>
      <c r="Y136" s="1" t="s">
        <v>164</v>
      </c>
      <c r="AA136" s="14">
        <v>34335</v>
      </c>
      <c r="AI136" s="1">
        <v>14</v>
      </c>
      <c r="AK136" s="2">
        <v>2.6</v>
      </c>
      <c r="AM136" s="3">
        <v>45.2</v>
      </c>
      <c r="AN136" s="1">
        <v>7.2</v>
      </c>
      <c r="AO136" s="3">
        <v>3.6</v>
      </c>
    </row>
    <row r="137" spans="1:41" x14ac:dyDescent="0.25">
      <c r="A137" s="1" t="s">
        <v>227</v>
      </c>
      <c r="C137" s="1" t="s">
        <v>159</v>
      </c>
      <c r="D137" s="1">
        <v>163.50057371033901</v>
      </c>
      <c r="E137" s="1">
        <v>-74.100398924826607</v>
      </c>
      <c r="F137" s="1">
        <v>5000</v>
      </c>
      <c r="G137" s="1" t="s">
        <v>218</v>
      </c>
      <c r="H137" s="1">
        <v>900</v>
      </c>
      <c r="I137" s="1" t="s">
        <v>44</v>
      </c>
      <c r="J137" s="1" t="s">
        <v>133</v>
      </c>
      <c r="L137" s="1" t="s">
        <v>161</v>
      </c>
      <c r="M137" s="1" t="s">
        <v>134</v>
      </c>
      <c r="N137" s="1" t="s">
        <v>48</v>
      </c>
      <c r="O137" s="1" t="s">
        <v>49</v>
      </c>
      <c r="P137" s="1" t="s">
        <v>162</v>
      </c>
      <c r="S137" s="1">
        <v>47226</v>
      </c>
      <c r="T137" s="1" t="s">
        <v>52</v>
      </c>
      <c r="V137" s="1" t="s">
        <v>163</v>
      </c>
      <c r="W137" s="1" t="s">
        <v>54</v>
      </c>
      <c r="X137" s="1" t="s">
        <v>55</v>
      </c>
      <c r="Y137" s="1" t="s">
        <v>164</v>
      </c>
      <c r="AA137" s="14">
        <v>34335</v>
      </c>
      <c r="AM137" s="3">
        <v>44.5</v>
      </c>
      <c r="AN137" s="1">
        <v>5.6</v>
      </c>
      <c r="AO137" s="3">
        <v>2.8</v>
      </c>
    </row>
    <row r="138" spans="1:41" x14ac:dyDescent="0.25">
      <c r="A138" s="1" t="s">
        <v>228</v>
      </c>
      <c r="C138" s="1" t="s">
        <v>159</v>
      </c>
      <c r="D138" s="1">
        <v>163.500552295549</v>
      </c>
      <c r="E138" s="1">
        <v>-73.700420896719805</v>
      </c>
      <c r="F138" s="1">
        <v>5000</v>
      </c>
      <c r="G138" s="1" t="s">
        <v>211</v>
      </c>
      <c r="H138" s="1">
        <v>2640</v>
      </c>
      <c r="I138" s="1" t="s">
        <v>44</v>
      </c>
      <c r="J138" s="1" t="s">
        <v>133</v>
      </c>
      <c r="L138" s="1" t="s">
        <v>161</v>
      </c>
      <c r="M138" s="1" t="s">
        <v>134</v>
      </c>
      <c r="N138" s="1" t="s">
        <v>48</v>
      </c>
      <c r="O138" s="1" t="s">
        <v>49</v>
      </c>
      <c r="P138" s="1" t="s">
        <v>162</v>
      </c>
      <c r="S138" s="1">
        <v>47230</v>
      </c>
      <c r="T138" s="1" t="s">
        <v>52</v>
      </c>
      <c r="V138" s="1" t="s">
        <v>163</v>
      </c>
      <c r="W138" s="1" t="s">
        <v>54</v>
      </c>
      <c r="X138" s="1" t="s">
        <v>55</v>
      </c>
      <c r="Y138" s="1" t="s">
        <v>164</v>
      </c>
      <c r="AA138" s="14">
        <v>34335</v>
      </c>
      <c r="AI138" s="1">
        <v>14.5</v>
      </c>
      <c r="AK138" s="2">
        <v>2.6</v>
      </c>
      <c r="AM138" s="3">
        <v>38.9</v>
      </c>
      <c r="AN138" s="1">
        <v>5.2</v>
      </c>
      <c r="AO138" s="3">
        <v>2.6</v>
      </c>
    </row>
    <row r="139" spans="1:41" x14ac:dyDescent="0.25">
      <c r="A139" s="1" t="s">
        <v>229</v>
      </c>
      <c r="C139" s="1" t="s">
        <v>159</v>
      </c>
      <c r="D139" s="1">
        <v>163.500552295549</v>
      </c>
      <c r="E139" s="1">
        <v>-73.700420896719805</v>
      </c>
      <c r="F139" s="1">
        <v>5000</v>
      </c>
      <c r="G139" s="1" t="s">
        <v>211</v>
      </c>
      <c r="H139" s="1">
        <v>2200</v>
      </c>
      <c r="I139" s="1" t="s">
        <v>44</v>
      </c>
      <c r="J139" s="1" t="s">
        <v>133</v>
      </c>
      <c r="L139" s="1" t="s">
        <v>161</v>
      </c>
      <c r="M139" s="1" t="s">
        <v>134</v>
      </c>
      <c r="N139" s="1" t="s">
        <v>48</v>
      </c>
      <c r="O139" s="1" t="s">
        <v>49</v>
      </c>
      <c r="P139" s="1" t="s">
        <v>162</v>
      </c>
      <c r="S139" s="1">
        <v>47236</v>
      </c>
      <c r="T139" s="1" t="s">
        <v>52</v>
      </c>
      <c r="V139" s="1" t="s">
        <v>163</v>
      </c>
      <c r="W139" s="1" t="s">
        <v>54</v>
      </c>
      <c r="X139" s="1" t="s">
        <v>55</v>
      </c>
      <c r="Y139" s="1" t="s">
        <v>164</v>
      </c>
      <c r="AA139" s="14">
        <v>34335</v>
      </c>
      <c r="AM139" s="3">
        <v>38.1</v>
      </c>
      <c r="AN139" s="1">
        <v>4</v>
      </c>
      <c r="AO139" s="3">
        <v>2</v>
      </c>
    </row>
    <row r="140" spans="1:41" x14ac:dyDescent="0.25">
      <c r="A140" s="1" t="s">
        <v>230</v>
      </c>
      <c r="C140" s="1" t="s">
        <v>159</v>
      </c>
      <c r="D140" s="1">
        <v>163.500552295549</v>
      </c>
      <c r="E140" s="1">
        <v>-73.700420896719805</v>
      </c>
      <c r="F140" s="1">
        <v>5000</v>
      </c>
      <c r="G140" s="1" t="s">
        <v>211</v>
      </c>
      <c r="H140" s="1">
        <v>2270</v>
      </c>
      <c r="I140" s="1" t="s">
        <v>44</v>
      </c>
      <c r="J140" s="1" t="s">
        <v>133</v>
      </c>
      <c r="L140" s="1" t="s">
        <v>161</v>
      </c>
      <c r="M140" s="1" t="s">
        <v>134</v>
      </c>
      <c r="N140" s="1" t="s">
        <v>48</v>
      </c>
      <c r="O140" s="1" t="s">
        <v>49</v>
      </c>
      <c r="P140" s="1" t="s">
        <v>162</v>
      </c>
      <c r="S140" s="1">
        <v>47233</v>
      </c>
      <c r="T140" s="1" t="s">
        <v>52</v>
      </c>
      <c r="V140" s="1" t="s">
        <v>163</v>
      </c>
      <c r="W140" s="1" t="s">
        <v>54</v>
      </c>
      <c r="X140" s="1" t="s">
        <v>55</v>
      </c>
      <c r="Y140" s="1" t="s">
        <v>164</v>
      </c>
      <c r="AA140" s="14">
        <v>34335</v>
      </c>
      <c r="AM140" s="3">
        <v>36.700000000000003</v>
      </c>
      <c r="AN140" s="1">
        <v>4.8</v>
      </c>
      <c r="AO140" s="3">
        <v>2.4</v>
      </c>
    </row>
    <row r="141" spans="1:41" x14ac:dyDescent="0.25">
      <c r="A141" s="1" t="s">
        <v>231</v>
      </c>
      <c r="C141" s="1" t="s">
        <v>159</v>
      </c>
      <c r="D141" s="1">
        <v>163.500552295549</v>
      </c>
      <c r="E141" s="1">
        <v>-73.700420896719805</v>
      </c>
      <c r="F141" s="1">
        <v>5000</v>
      </c>
      <c r="G141" s="1" t="s">
        <v>211</v>
      </c>
      <c r="H141" s="1">
        <v>1790</v>
      </c>
      <c r="I141" s="1" t="s">
        <v>44</v>
      </c>
      <c r="J141" s="1" t="s">
        <v>133</v>
      </c>
      <c r="L141" s="1" t="s">
        <v>161</v>
      </c>
      <c r="M141" s="1" t="s">
        <v>134</v>
      </c>
      <c r="N141" s="1" t="s">
        <v>48</v>
      </c>
      <c r="O141" s="1" t="s">
        <v>49</v>
      </c>
      <c r="P141" s="1" t="s">
        <v>162</v>
      </c>
      <c r="S141" s="1">
        <v>47238</v>
      </c>
      <c r="T141" s="1" t="s">
        <v>52</v>
      </c>
      <c r="V141" s="1" t="s">
        <v>163</v>
      </c>
      <c r="W141" s="1" t="s">
        <v>54</v>
      </c>
      <c r="X141" s="1" t="s">
        <v>55</v>
      </c>
      <c r="Y141" s="1" t="s">
        <v>164</v>
      </c>
      <c r="AA141" s="14">
        <v>34335</v>
      </c>
      <c r="AI141" s="1">
        <v>14.5</v>
      </c>
      <c r="AK141" s="2">
        <v>2.8</v>
      </c>
      <c r="AM141" s="3">
        <v>41.8</v>
      </c>
      <c r="AN141" s="1">
        <v>10.4</v>
      </c>
      <c r="AO141" s="3">
        <v>5.2</v>
      </c>
    </row>
    <row r="142" spans="1:41" x14ac:dyDescent="0.25">
      <c r="A142" s="1" t="s">
        <v>232</v>
      </c>
      <c r="C142" s="1" t="s">
        <v>159</v>
      </c>
      <c r="D142" s="1">
        <v>163.500552295549</v>
      </c>
      <c r="E142" s="1">
        <v>-73.700420896719805</v>
      </c>
      <c r="F142" s="1">
        <v>5000</v>
      </c>
      <c r="G142" s="1" t="s">
        <v>211</v>
      </c>
      <c r="H142" s="1">
        <v>2220</v>
      </c>
      <c r="I142" s="1" t="s">
        <v>44</v>
      </c>
      <c r="J142" s="1" t="s">
        <v>133</v>
      </c>
      <c r="L142" s="1" t="s">
        <v>161</v>
      </c>
      <c r="M142" s="1" t="s">
        <v>134</v>
      </c>
      <c r="N142" s="1" t="s">
        <v>48</v>
      </c>
      <c r="O142" s="1" t="s">
        <v>49</v>
      </c>
      <c r="P142" s="1" t="s">
        <v>162</v>
      </c>
      <c r="S142" s="1">
        <v>47235</v>
      </c>
      <c r="T142" s="1" t="s">
        <v>52</v>
      </c>
      <c r="V142" s="1" t="s">
        <v>163</v>
      </c>
      <c r="W142" s="1" t="s">
        <v>54</v>
      </c>
      <c r="X142" s="1" t="s">
        <v>55</v>
      </c>
      <c r="Y142" s="1" t="s">
        <v>164</v>
      </c>
      <c r="AA142" s="14">
        <v>34335</v>
      </c>
      <c r="AI142" s="1">
        <v>14.2</v>
      </c>
      <c r="AK142" s="2">
        <v>3.4</v>
      </c>
      <c r="AM142" s="3">
        <v>38.6</v>
      </c>
      <c r="AN142" s="1">
        <v>5</v>
      </c>
      <c r="AO142" s="3">
        <v>2.5</v>
      </c>
    </row>
    <row r="143" spans="1:41" x14ac:dyDescent="0.25">
      <c r="A143" s="1" t="s">
        <v>233</v>
      </c>
      <c r="C143" s="1" t="s">
        <v>159</v>
      </c>
      <c r="D143" s="1">
        <v>163.500552295549</v>
      </c>
      <c r="E143" s="1">
        <v>-73.700420896719805</v>
      </c>
      <c r="F143" s="1">
        <v>5000</v>
      </c>
      <c r="G143" s="1" t="s">
        <v>211</v>
      </c>
      <c r="H143" s="1">
        <v>2500</v>
      </c>
      <c r="I143" s="1" t="s">
        <v>44</v>
      </c>
      <c r="J143" s="1" t="s">
        <v>133</v>
      </c>
      <c r="L143" s="1" t="s">
        <v>161</v>
      </c>
      <c r="M143" s="1" t="s">
        <v>134</v>
      </c>
      <c r="N143" s="1" t="s">
        <v>48</v>
      </c>
      <c r="O143" s="1" t="s">
        <v>49</v>
      </c>
      <c r="P143" s="1" t="s">
        <v>162</v>
      </c>
      <c r="S143" s="1">
        <v>47231</v>
      </c>
      <c r="T143" s="1" t="s">
        <v>52</v>
      </c>
      <c r="V143" s="1" t="s">
        <v>163</v>
      </c>
      <c r="W143" s="1" t="s">
        <v>54</v>
      </c>
      <c r="X143" s="1" t="s">
        <v>55</v>
      </c>
      <c r="Y143" s="1" t="s">
        <v>164</v>
      </c>
      <c r="AA143" s="14">
        <v>34335</v>
      </c>
      <c r="AI143" s="1">
        <v>14.4</v>
      </c>
      <c r="AK143" s="2">
        <v>3.2</v>
      </c>
      <c r="AM143" s="3">
        <v>38.1</v>
      </c>
      <c r="AN143" s="1">
        <v>4.5999999999999996</v>
      </c>
      <c r="AO143" s="3">
        <v>2.2999999999999998</v>
      </c>
    </row>
    <row r="144" spans="1:41" x14ac:dyDescent="0.25">
      <c r="A144" s="1" t="s">
        <v>234</v>
      </c>
      <c r="C144" s="1" t="s">
        <v>159</v>
      </c>
      <c r="D144" s="1">
        <v>163.500552295549</v>
      </c>
      <c r="E144" s="1">
        <v>-73.700420896719805</v>
      </c>
      <c r="F144" s="1">
        <v>5000</v>
      </c>
      <c r="G144" s="1" t="s">
        <v>211</v>
      </c>
      <c r="H144" s="1">
        <v>2270</v>
      </c>
      <c r="I144" s="1" t="s">
        <v>44</v>
      </c>
      <c r="J144" s="1" t="s">
        <v>133</v>
      </c>
      <c r="L144" s="1" t="s">
        <v>161</v>
      </c>
      <c r="M144" s="1" t="s">
        <v>134</v>
      </c>
      <c r="N144" s="1" t="s">
        <v>48</v>
      </c>
      <c r="O144" s="1" t="s">
        <v>49</v>
      </c>
      <c r="P144" s="1" t="s">
        <v>162</v>
      </c>
      <c r="S144" s="1">
        <v>47234</v>
      </c>
      <c r="T144" s="1" t="s">
        <v>52</v>
      </c>
      <c r="V144" s="1" t="s">
        <v>163</v>
      </c>
      <c r="W144" s="1" t="s">
        <v>54</v>
      </c>
      <c r="X144" s="1" t="s">
        <v>55</v>
      </c>
      <c r="Y144" s="1" t="s">
        <v>164</v>
      </c>
      <c r="AA144" s="14">
        <v>34335</v>
      </c>
      <c r="AM144" s="3">
        <v>38.299999999999997</v>
      </c>
      <c r="AN144" s="1">
        <v>4.4000000000000004</v>
      </c>
      <c r="AO144" s="3">
        <v>2.2000000000000002</v>
      </c>
    </row>
    <row r="145" spans="1:41" x14ac:dyDescent="0.25">
      <c r="A145" s="1" t="s">
        <v>235</v>
      </c>
      <c r="C145" s="1" t="s">
        <v>159</v>
      </c>
      <c r="D145" s="1">
        <v>163.500552295549</v>
      </c>
      <c r="E145" s="1">
        <v>-73.700420896719805</v>
      </c>
      <c r="F145" s="1">
        <v>5000</v>
      </c>
      <c r="G145" s="1" t="s">
        <v>211</v>
      </c>
      <c r="H145" s="1">
        <v>1950</v>
      </c>
      <c r="I145" s="1" t="s">
        <v>44</v>
      </c>
      <c r="J145" s="1" t="s">
        <v>133</v>
      </c>
      <c r="L145" s="1" t="s">
        <v>161</v>
      </c>
      <c r="M145" s="1" t="s">
        <v>134</v>
      </c>
      <c r="N145" s="1" t="s">
        <v>48</v>
      </c>
      <c r="O145" s="1" t="s">
        <v>49</v>
      </c>
      <c r="P145" s="1" t="s">
        <v>162</v>
      </c>
      <c r="S145" s="1">
        <v>47237</v>
      </c>
      <c r="T145" s="1" t="s">
        <v>52</v>
      </c>
      <c r="V145" s="1" t="s">
        <v>163</v>
      </c>
      <c r="W145" s="1" t="s">
        <v>54</v>
      </c>
      <c r="X145" s="1" t="s">
        <v>55</v>
      </c>
      <c r="Y145" s="1" t="s">
        <v>164</v>
      </c>
      <c r="AA145" s="14">
        <v>34335</v>
      </c>
      <c r="AM145" s="3">
        <v>39.1</v>
      </c>
      <c r="AN145" s="1">
        <v>4.8</v>
      </c>
      <c r="AO145" s="3">
        <v>2.4</v>
      </c>
    </row>
    <row r="146" spans="1:41" x14ac:dyDescent="0.25">
      <c r="A146" s="1" t="s">
        <v>236</v>
      </c>
      <c r="C146" s="1" t="s">
        <v>159</v>
      </c>
      <c r="D146" s="1">
        <v>163.500552295549</v>
      </c>
      <c r="E146" s="1">
        <v>-73.700420896719805</v>
      </c>
      <c r="F146" s="1">
        <v>5000</v>
      </c>
      <c r="G146" s="1" t="s">
        <v>211</v>
      </c>
      <c r="H146" s="1">
        <v>1760</v>
      </c>
      <c r="I146" s="1" t="s">
        <v>44</v>
      </c>
      <c r="J146" s="1" t="s">
        <v>133</v>
      </c>
      <c r="L146" s="1" t="s">
        <v>161</v>
      </c>
      <c r="M146" s="1" t="s">
        <v>134</v>
      </c>
      <c r="N146" s="1" t="s">
        <v>48</v>
      </c>
      <c r="O146" s="1" t="s">
        <v>49</v>
      </c>
      <c r="P146" s="1" t="s">
        <v>162</v>
      </c>
      <c r="S146" s="1">
        <v>47239</v>
      </c>
      <c r="T146" s="1" t="s">
        <v>52</v>
      </c>
      <c r="V146" s="1" t="s">
        <v>163</v>
      </c>
      <c r="W146" s="1" t="s">
        <v>54</v>
      </c>
      <c r="X146" s="1" t="s">
        <v>55</v>
      </c>
      <c r="Y146" s="1" t="s">
        <v>164</v>
      </c>
      <c r="AA146" s="14">
        <v>34335</v>
      </c>
      <c r="AI146" s="1">
        <v>14.6</v>
      </c>
      <c r="AK146" s="2">
        <v>2.6</v>
      </c>
      <c r="AM146" s="3">
        <v>38.5</v>
      </c>
      <c r="AN146" s="1">
        <v>6.2</v>
      </c>
      <c r="AO146" s="3">
        <v>3.1</v>
      </c>
    </row>
    <row r="147" spans="1:41" x14ac:dyDescent="0.25">
      <c r="A147" s="1" t="s">
        <v>237</v>
      </c>
      <c r="C147" s="1" t="s">
        <v>159</v>
      </c>
      <c r="D147" s="1">
        <v>163.500552295549</v>
      </c>
      <c r="E147" s="1">
        <v>-73.700420896719805</v>
      </c>
      <c r="F147" s="1">
        <v>5000</v>
      </c>
      <c r="G147" s="1" t="s">
        <v>211</v>
      </c>
      <c r="H147" s="1">
        <v>1450</v>
      </c>
      <c r="I147" s="1" t="s">
        <v>44</v>
      </c>
      <c r="J147" s="1" t="s">
        <v>133</v>
      </c>
      <c r="L147" s="1" t="s">
        <v>161</v>
      </c>
      <c r="M147" s="1" t="s">
        <v>134</v>
      </c>
      <c r="N147" s="1" t="s">
        <v>48</v>
      </c>
      <c r="O147" s="1" t="s">
        <v>49</v>
      </c>
      <c r="P147" s="1" t="s">
        <v>162</v>
      </c>
      <c r="S147" s="1">
        <v>47240</v>
      </c>
      <c r="T147" s="1" t="s">
        <v>52</v>
      </c>
      <c r="V147" s="1" t="s">
        <v>163</v>
      </c>
      <c r="W147" s="1" t="s">
        <v>54</v>
      </c>
      <c r="X147" s="1" t="s">
        <v>55</v>
      </c>
      <c r="Y147" s="1" t="s">
        <v>164</v>
      </c>
      <c r="AA147" s="14">
        <v>34335</v>
      </c>
      <c r="AI147" s="1">
        <v>14.6</v>
      </c>
      <c r="AK147" s="2">
        <v>2.8</v>
      </c>
      <c r="AM147" s="3">
        <v>37.5</v>
      </c>
      <c r="AN147" s="1">
        <v>5</v>
      </c>
      <c r="AO147" s="3">
        <v>2.5</v>
      </c>
    </row>
    <row r="148" spans="1:41" x14ac:dyDescent="0.25">
      <c r="A148" s="1" t="s">
        <v>238</v>
      </c>
      <c r="C148" s="1" t="s">
        <v>159</v>
      </c>
      <c r="D148" s="1">
        <v>163.500552295549</v>
      </c>
      <c r="E148" s="1">
        <v>-73.700420896719805</v>
      </c>
      <c r="F148" s="1">
        <v>5000</v>
      </c>
      <c r="G148" s="1" t="s">
        <v>211</v>
      </c>
      <c r="H148" s="1">
        <v>120</v>
      </c>
      <c r="I148" s="1" t="s">
        <v>44</v>
      </c>
      <c r="J148" s="1" t="s">
        <v>133</v>
      </c>
      <c r="L148" s="1" t="s">
        <v>161</v>
      </c>
      <c r="M148" s="1" t="s">
        <v>134</v>
      </c>
      <c r="N148" s="1" t="s">
        <v>48</v>
      </c>
      <c r="O148" s="1" t="s">
        <v>49</v>
      </c>
      <c r="P148" s="1" t="s">
        <v>162</v>
      </c>
      <c r="S148" s="1">
        <v>47241</v>
      </c>
      <c r="T148" s="1" t="s">
        <v>52</v>
      </c>
      <c r="V148" s="1" t="s">
        <v>163</v>
      </c>
      <c r="W148" s="1" t="s">
        <v>54</v>
      </c>
      <c r="X148" s="1" t="s">
        <v>55</v>
      </c>
      <c r="Y148" s="1" t="s">
        <v>164</v>
      </c>
      <c r="AA148" s="14">
        <v>34335</v>
      </c>
      <c r="AI148" s="1">
        <v>14.7</v>
      </c>
      <c r="AK148" s="2">
        <v>2.5</v>
      </c>
      <c r="AM148" s="3">
        <v>35.5</v>
      </c>
      <c r="AN148" s="1">
        <v>5.4</v>
      </c>
      <c r="AO148" s="3">
        <v>2.7</v>
      </c>
    </row>
    <row r="149" spans="1:41" x14ac:dyDescent="0.25">
      <c r="A149" s="1" t="s">
        <v>239</v>
      </c>
      <c r="C149" s="1" t="s">
        <v>159</v>
      </c>
      <c r="D149" s="1">
        <v>163.500552295549</v>
      </c>
      <c r="E149" s="1">
        <v>-73.700420896719805</v>
      </c>
      <c r="F149" s="1">
        <v>5000</v>
      </c>
      <c r="G149" s="1" t="s">
        <v>211</v>
      </c>
      <c r="H149" s="1">
        <v>2470</v>
      </c>
      <c r="I149" s="1" t="s">
        <v>44</v>
      </c>
      <c r="J149" s="1" t="s">
        <v>133</v>
      </c>
      <c r="L149" s="1" t="s">
        <v>161</v>
      </c>
      <c r="M149" s="1" t="s">
        <v>134</v>
      </c>
      <c r="N149" s="1" t="s">
        <v>48</v>
      </c>
      <c r="O149" s="1" t="s">
        <v>49</v>
      </c>
      <c r="P149" s="1" t="s">
        <v>162</v>
      </c>
      <c r="S149" s="1">
        <v>47232</v>
      </c>
      <c r="T149" s="1" t="s">
        <v>52</v>
      </c>
      <c r="V149" s="1" t="s">
        <v>163</v>
      </c>
      <c r="W149" s="1" t="s">
        <v>54</v>
      </c>
      <c r="X149" s="1" t="s">
        <v>55</v>
      </c>
      <c r="Y149" s="1" t="s">
        <v>164</v>
      </c>
      <c r="AA149" s="14">
        <v>34335</v>
      </c>
      <c r="AM149" s="3">
        <v>37</v>
      </c>
      <c r="AN149" s="1">
        <v>9.6</v>
      </c>
      <c r="AO149" s="3">
        <v>4.8</v>
      </c>
    </row>
    <row r="150" spans="1:41" x14ac:dyDescent="0.25">
      <c r="A150" s="1" t="s">
        <v>240</v>
      </c>
      <c r="C150" s="1" t="s">
        <v>159</v>
      </c>
      <c r="D150" s="1">
        <v>163.500552295549</v>
      </c>
      <c r="E150" s="1">
        <v>-73.700420896719805</v>
      </c>
      <c r="F150" s="1">
        <v>5000</v>
      </c>
      <c r="G150" s="1" t="s">
        <v>211</v>
      </c>
      <c r="H150" s="1">
        <v>60</v>
      </c>
      <c r="I150" s="1" t="s">
        <v>44</v>
      </c>
      <c r="J150" s="1" t="s">
        <v>133</v>
      </c>
      <c r="L150" s="1" t="s">
        <v>161</v>
      </c>
      <c r="M150" s="1" t="s">
        <v>134</v>
      </c>
      <c r="N150" s="1" t="s">
        <v>48</v>
      </c>
      <c r="O150" s="1" t="s">
        <v>49</v>
      </c>
      <c r="P150" s="1" t="s">
        <v>162</v>
      </c>
      <c r="S150" s="1">
        <v>47242</v>
      </c>
      <c r="T150" s="1" t="s">
        <v>52</v>
      </c>
      <c r="V150" s="1" t="s">
        <v>163</v>
      </c>
      <c r="W150" s="1" t="s">
        <v>54</v>
      </c>
      <c r="X150" s="1" t="s">
        <v>55</v>
      </c>
      <c r="Y150" s="1" t="s">
        <v>164</v>
      </c>
      <c r="AA150" s="14">
        <v>34335</v>
      </c>
      <c r="AI150" s="1">
        <v>14.2</v>
      </c>
      <c r="AK150" s="2">
        <v>2.4</v>
      </c>
      <c r="AM150" s="3">
        <v>28.6</v>
      </c>
      <c r="AN150" s="1">
        <v>3.8</v>
      </c>
      <c r="AO150" s="3">
        <v>1.9</v>
      </c>
    </row>
    <row r="151" spans="1:41" x14ac:dyDescent="0.25">
      <c r="A151" s="1" t="s">
        <v>241</v>
      </c>
      <c r="C151" s="1" t="s">
        <v>159</v>
      </c>
      <c r="D151" s="1">
        <v>164.50053561594899</v>
      </c>
      <c r="E151" s="1">
        <v>-74.000400379186502</v>
      </c>
      <c r="F151" s="1">
        <v>5000</v>
      </c>
      <c r="G151" s="1" t="s">
        <v>242</v>
      </c>
      <c r="H151" s="1">
        <v>615</v>
      </c>
      <c r="I151" s="1" t="s">
        <v>44</v>
      </c>
      <c r="J151" s="1" t="s">
        <v>133</v>
      </c>
      <c r="L151" s="1" t="s">
        <v>161</v>
      </c>
      <c r="M151" s="1" t="s">
        <v>134</v>
      </c>
      <c r="N151" s="1" t="s">
        <v>48</v>
      </c>
      <c r="O151" s="1" t="s">
        <v>49</v>
      </c>
      <c r="P151" s="1" t="s">
        <v>162</v>
      </c>
      <c r="S151" s="1">
        <v>47244</v>
      </c>
      <c r="T151" s="1" t="s">
        <v>52</v>
      </c>
      <c r="V151" s="1" t="s">
        <v>163</v>
      </c>
      <c r="W151" s="1" t="s">
        <v>54</v>
      </c>
      <c r="X151" s="1" t="s">
        <v>55</v>
      </c>
      <c r="Y151" s="1" t="s">
        <v>164</v>
      </c>
      <c r="AA151" s="14">
        <v>34335</v>
      </c>
      <c r="AM151" s="3">
        <v>28.4</v>
      </c>
      <c r="AN151" s="1">
        <v>4.5999999999999996</v>
      </c>
      <c r="AO151" s="3">
        <v>2.2999999999999998</v>
      </c>
    </row>
    <row r="152" spans="1:41" x14ac:dyDescent="0.25">
      <c r="A152" s="1" t="s">
        <v>243</v>
      </c>
      <c r="C152" s="1" t="s">
        <v>159</v>
      </c>
      <c r="D152" s="1">
        <v>164.50053561594899</v>
      </c>
      <c r="E152" s="1">
        <v>-74.000400379186502</v>
      </c>
      <c r="F152" s="1">
        <v>5000</v>
      </c>
      <c r="G152" s="1" t="s">
        <v>242</v>
      </c>
      <c r="H152" s="1">
        <v>400</v>
      </c>
      <c r="I152" s="1" t="s">
        <v>44</v>
      </c>
      <c r="J152" s="1" t="s">
        <v>133</v>
      </c>
      <c r="L152" s="1" t="s">
        <v>161</v>
      </c>
      <c r="M152" s="1" t="s">
        <v>134</v>
      </c>
      <c r="N152" s="1" t="s">
        <v>48</v>
      </c>
      <c r="O152" s="1" t="s">
        <v>49</v>
      </c>
      <c r="P152" s="1" t="s">
        <v>162</v>
      </c>
      <c r="S152" s="1">
        <v>47245</v>
      </c>
      <c r="T152" s="1" t="s">
        <v>52</v>
      </c>
      <c r="V152" s="1" t="s">
        <v>163</v>
      </c>
      <c r="W152" s="1" t="s">
        <v>54</v>
      </c>
      <c r="X152" s="1" t="s">
        <v>55</v>
      </c>
      <c r="Y152" s="1" t="s">
        <v>164</v>
      </c>
      <c r="AA152" s="14">
        <v>34335</v>
      </c>
      <c r="AI152" s="1">
        <v>14.5</v>
      </c>
      <c r="AK152" s="2">
        <v>2.5</v>
      </c>
      <c r="AM152" s="3">
        <v>31.3</v>
      </c>
      <c r="AN152" s="1">
        <v>5.2</v>
      </c>
      <c r="AO152" s="3">
        <v>2.6</v>
      </c>
    </row>
    <row r="153" spans="1:41" x14ac:dyDescent="0.25">
      <c r="A153" s="1" t="s">
        <v>244</v>
      </c>
      <c r="C153" s="1" t="s">
        <v>159</v>
      </c>
      <c r="D153" s="1">
        <v>164.50053561594899</v>
      </c>
      <c r="E153" s="1">
        <v>-74.000400379186502</v>
      </c>
      <c r="F153" s="1">
        <v>5000</v>
      </c>
      <c r="G153" s="1" t="s">
        <v>242</v>
      </c>
      <c r="H153" s="1">
        <v>150</v>
      </c>
      <c r="I153" s="1" t="s">
        <v>44</v>
      </c>
      <c r="J153" s="1" t="s">
        <v>133</v>
      </c>
      <c r="L153" s="1" t="s">
        <v>161</v>
      </c>
      <c r="M153" s="1" t="s">
        <v>134</v>
      </c>
      <c r="N153" s="1" t="s">
        <v>48</v>
      </c>
      <c r="O153" s="1" t="s">
        <v>49</v>
      </c>
      <c r="P153" s="1" t="s">
        <v>162</v>
      </c>
      <c r="S153" s="1">
        <v>47246</v>
      </c>
      <c r="T153" s="1" t="s">
        <v>52</v>
      </c>
      <c r="V153" s="1" t="s">
        <v>163</v>
      </c>
      <c r="W153" s="1" t="s">
        <v>54</v>
      </c>
      <c r="X153" s="1" t="s">
        <v>55</v>
      </c>
      <c r="Y153" s="1" t="s">
        <v>164</v>
      </c>
      <c r="AA153" s="14">
        <v>34335</v>
      </c>
      <c r="AI153" s="1">
        <v>14.5</v>
      </c>
      <c r="AK153" s="2">
        <v>2.4</v>
      </c>
      <c r="AM153" s="3">
        <v>28.9</v>
      </c>
      <c r="AN153" s="1">
        <v>6.4</v>
      </c>
      <c r="AO153" s="3">
        <v>3.2</v>
      </c>
    </row>
    <row r="154" spans="1:41" x14ac:dyDescent="0.25">
      <c r="A154" s="1" t="s">
        <v>245</v>
      </c>
      <c r="C154" s="1" t="s">
        <v>159</v>
      </c>
      <c r="D154" s="1">
        <v>164.50053561594899</v>
      </c>
      <c r="E154" s="1">
        <v>-74.000400379186502</v>
      </c>
      <c r="F154" s="1">
        <v>5000</v>
      </c>
      <c r="G154" s="1" t="s">
        <v>242</v>
      </c>
      <c r="H154" s="1">
        <v>940</v>
      </c>
      <c r="I154" s="1" t="s">
        <v>44</v>
      </c>
      <c r="J154" s="1" t="s">
        <v>133</v>
      </c>
      <c r="L154" s="1" t="s">
        <v>161</v>
      </c>
      <c r="M154" s="1" t="s">
        <v>134</v>
      </c>
      <c r="N154" s="1" t="s">
        <v>48</v>
      </c>
      <c r="O154" s="1" t="s">
        <v>49</v>
      </c>
      <c r="P154" s="1" t="s">
        <v>162</v>
      </c>
      <c r="S154" s="1">
        <v>47243</v>
      </c>
      <c r="T154" s="1" t="s">
        <v>52</v>
      </c>
      <c r="V154" s="1" t="s">
        <v>163</v>
      </c>
      <c r="W154" s="1" t="s">
        <v>54</v>
      </c>
      <c r="X154" s="1" t="s">
        <v>55</v>
      </c>
      <c r="Y154" s="1" t="s">
        <v>164</v>
      </c>
      <c r="AA154" s="14">
        <v>34335</v>
      </c>
      <c r="AM154" s="3">
        <v>31.4</v>
      </c>
      <c r="AN154" s="1">
        <v>6</v>
      </c>
      <c r="AO154" s="3">
        <v>3</v>
      </c>
    </row>
    <row r="155" spans="1:41" x14ac:dyDescent="0.25">
      <c r="A155" s="1" t="s">
        <v>246</v>
      </c>
      <c r="C155" s="1" t="s">
        <v>159</v>
      </c>
      <c r="D155" s="1">
        <v>164.50053561594899</v>
      </c>
      <c r="E155" s="1">
        <v>-74.000400379186502</v>
      </c>
      <c r="F155" s="1">
        <v>5000</v>
      </c>
      <c r="G155" s="1" t="s">
        <v>242</v>
      </c>
      <c r="H155" s="1">
        <v>30</v>
      </c>
      <c r="I155" s="1" t="s">
        <v>44</v>
      </c>
      <c r="J155" s="1" t="s">
        <v>133</v>
      </c>
      <c r="L155" s="1" t="s">
        <v>161</v>
      </c>
      <c r="M155" s="1" t="s">
        <v>134</v>
      </c>
      <c r="N155" s="1" t="s">
        <v>48</v>
      </c>
      <c r="O155" s="1" t="s">
        <v>49</v>
      </c>
      <c r="P155" s="1" t="s">
        <v>162</v>
      </c>
      <c r="S155" s="1">
        <v>47247</v>
      </c>
      <c r="T155" s="1" t="s">
        <v>52</v>
      </c>
      <c r="V155" s="1" t="s">
        <v>163</v>
      </c>
      <c r="W155" s="1" t="s">
        <v>54</v>
      </c>
      <c r="X155" s="1" t="s">
        <v>55</v>
      </c>
      <c r="Y155" s="1" t="s">
        <v>164</v>
      </c>
      <c r="AA155" s="14">
        <v>34335</v>
      </c>
      <c r="AI155" s="1">
        <v>14.3</v>
      </c>
      <c r="AK155" s="2">
        <v>2.6</v>
      </c>
      <c r="AM155" s="3">
        <v>29.1</v>
      </c>
      <c r="AN155" s="1">
        <v>3.8</v>
      </c>
      <c r="AO155" s="3">
        <v>1.9</v>
      </c>
    </row>
    <row r="156" spans="1:41" x14ac:dyDescent="0.25">
      <c r="A156" s="1" t="s">
        <v>247</v>
      </c>
      <c r="C156" s="1" t="s">
        <v>159</v>
      </c>
      <c r="D156" s="1">
        <v>164.50053561594899</v>
      </c>
      <c r="E156" s="1">
        <v>-74.000400379186502</v>
      </c>
      <c r="F156" s="1">
        <v>5000</v>
      </c>
      <c r="G156" s="1" t="s">
        <v>242</v>
      </c>
      <c r="H156" s="1">
        <v>15</v>
      </c>
      <c r="I156" s="1" t="s">
        <v>44</v>
      </c>
      <c r="J156" s="1" t="s">
        <v>133</v>
      </c>
      <c r="L156" s="1" t="s">
        <v>161</v>
      </c>
      <c r="M156" s="1" t="s">
        <v>134</v>
      </c>
      <c r="N156" s="1" t="s">
        <v>48</v>
      </c>
      <c r="O156" s="1" t="s">
        <v>49</v>
      </c>
      <c r="P156" s="1" t="s">
        <v>162</v>
      </c>
      <c r="S156" s="1">
        <v>47248</v>
      </c>
      <c r="T156" s="1" t="s">
        <v>52</v>
      </c>
      <c r="V156" s="1" t="s">
        <v>163</v>
      </c>
      <c r="W156" s="1" t="s">
        <v>54</v>
      </c>
      <c r="X156" s="1" t="s">
        <v>55</v>
      </c>
      <c r="Y156" s="1" t="s">
        <v>164</v>
      </c>
      <c r="AA156" s="14">
        <v>34335</v>
      </c>
      <c r="AI156" s="1">
        <v>14.4</v>
      </c>
      <c r="AK156" s="2">
        <v>2.1</v>
      </c>
      <c r="AM156" s="3">
        <v>28.7</v>
      </c>
      <c r="AN156" s="1">
        <v>5.6</v>
      </c>
      <c r="AO156" s="3">
        <v>2.8</v>
      </c>
    </row>
    <row r="157" spans="1:41" x14ac:dyDescent="0.25">
      <c r="A157" s="1" t="s">
        <v>248</v>
      </c>
      <c r="C157" s="1" t="s">
        <v>53</v>
      </c>
      <c r="D157" s="1">
        <v>162.27081935237399</v>
      </c>
      <c r="E157" s="1">
        <v>-77.0302408884979</v>
      </c>
      <c r="F157" s="1">
        <v>5000</v>
      </c>
      <c r="G157" s="1" t="s">
        <v>249</v>
      </c>
      <c r="H157" s="1">
        <v>1205</v>
      </c>
      <c r="I157" s="1" t="s">
        <v>44</v>
      </c>
      <c r="J157" s="1" t="s">
        <v>250</v>
      </c>
      <c r="L157" s="1" t="s">
        <v>161</v>
      </c>
      <c r="M157" s="1" t="s">
        <v>134</v>
      </c>
      <c r="N157" s="1" t="s">
        <v>48</v>
      </c>
      <c r="O157" s="1" t="s">
        <v>49</v>
      </c>
      <c r="P157" s="1" t="s">
        <v>162</v>
      </c>
      <c r="S157" s="1">
        <v>47104</v>
      </c>
      <c r="T157" s="1" t="s">
        <v>52</v>
      </c>
      <c r="V157" s="1" t="s">
        <v>53</v>
      </c>
      <c r="W157" s="1" t="s">
        <v>54</v>
      </c>
      <c r="X157" s="1" t="s">
        <v>55</v>
      </c>
      <c r="Y157" s="1" t="s">
        <v>251</v>
      </c>
      <c r="AA157" s="14">
        <v>33604</v>
      </c>
      <c r="AI157" s="1">
        <v>12.9</v>
      </c>
      <c r="AK157" s="2">
        <v>4.2</v>
      </c>
      <c r="AM157" s="3">
        <v>96</v>
      </c>
      <c r="AN157" s="1">
        <v>8</v>
      </c>
      <c r="AO157" s="3">
        <v>4</v>
      </c>
    </row>
    <row r="158" spans="1:41" x14ac:dyDescent="0.25">
      <c r="A158" s="1" t="s">
        <v>252</v>
      </c>
      <c r="C158" s="1" t="s">
        <v>53</v>
      </c>
      <c r="D158" s="1">
        <v>162.830852949145</v>
      </c>
      <c r="E158" s="1">
        <v>-77.660202916192901</v>
      </c>
      <c r="F158" s="1">
        <v>5000</v>
      </c>
      <c r="G158" s="1" t="s">
        <v>253</v>
      </c>
      <c r="H158" s="1">
        <v>1100</v>
      </c>
      <c r="I158" s="1" t="s">
        <v>44</v>
      </c>
      <c r="J158" s="1" t="s">
        <v>250</v>
      </c>
      <c r="L158" s="1" t="s">
        <v>161</v>
      </c>
      <c r="M158" s="1" t="s">
        <v>134</v>
      </c>
      <c r="N158" s="1" t="s">
        <v>48</v>
      </c>
      <c r="O158" s="1" t="s">
        <v>49</v>
      </c>
      <c r="P158" s="1" t="s">
        <v>162</v>
      </c>
      <c r="Q158" s="1" t="s">
        <v>254</v>
      </c>
      <c r="S158" s="1">
        <v>47105</v>
      </c>
      <c r="T158" s="1" t="s">
        <v>52</v>
      </c>
      <c r="U158" s="1" t="s">
        <v>255</v>
      </c>
      <c r="V158" s="1" t="s">
        <v>53</v>
      </c>
      <c r="W158" s="1" t="s">
        <v>54</v>
      </c>
      <c r="X158" s="1" t="s">
        <v>55</v>
      </c>
      <c r="Y158" s="1" t="s">
        <v>251</v>
      </c>
      <c r="AA158" s="14">
        <v>33604</v>
      </c>
      <c r="AI158" s="1">
        <v>13.1</v>
      </c>
      <c r="AK158" s="2">
        <v>4</v>
      </c>
      <c r="AM158" s="3">
        <v>83</v>
      </c>
      <c r="AN158" s="1">
        <v>6</v>
      </c>
      <c r="AO158" s="3">
        <v>3</v>
      </c>
    </row>
    <row r="159" spans="1:41" x14ac:dyDescent="0.25">
      <c r="A159" s="1" t="s">
        <v>252</v>
      </c>
      <c r="C159" s="1" t="s">
        <v>53</v>
      </c>
      <c r="D159" s="1">
        <v>162.830852949145</v>
      </c>
      <c r="E159" s="1">
        <v>-77.660202916192901</v>
      </c>
      <c r="F159" s="1">
        <v>5000</v>
      </c>
      <c r="G159" s="1" t="s">
        <v>253</v>
      </c>
      <c r="H159" s="1">
        <v>1100</v>
      </c>
      <c r="I159" s="1" t="s">
        <v>44</v>
      </c>
      <c r="J159" s="1" t="s">
        <v>250</v>
      </c>
      <c r="L159" s="1" t="s">
        <v>161</v>
      </c>
      <c r="M159" s="1" t="s">
        <v>134</v>
      </c>
      <c r="N159" s="1" t="s">
        <v>48</v>
      </c>
      <c r="O159" s="1" t="s">
        <v>49</v>
      </c>
      <c r="P159" s="1" t="s">
        <v>162</v>
      </c>
      <c r="Q159" s="1" t="s">
        <v>254</v>
      </c>
      <c r="S159" s="1">
        <v>47106</v>
      </c>
      <c r="T159" s="1" t="s">
        <v>52</v>
      </c>
      <c r="U159" s="1" t="s">
        <v>256</v>
      </c>
      <c r="V159" s="1" t="s">
        <v>53</v>
      </c>
      <c r="W159" s="1" t="s">
        <v>54</v>
      </c>
      <c r="X159" s="1" t="s">
        <v>55</v>
      </c>
      <c r="Y159" s="1" t="s">
        <v>251</v>
      </c>
      <c r="AA159" s="14">
        <v>33604</v>
      </c>
      <c r="AM159" s="3">
        <v>85</v>
      </c>
      <c r="AN159" s="1">
        <v>8</v>
      </c>
      <c r="AO159" s="3">
        <v>4</v>
      </c>
    </row>
    <row r="160" spans="1:41" x14ac:dyDescent="0.25">
      <c r="A160" s="1" t="s">
        <v>257</v>
      </c>
      <c r="C160" s="1" t="s">
        <v>53</v>
      </c>
      <c r="D160" s="1">
        <v>162.910805028879</v>
      </c>
      <c r="E160" s="1">
        <v>-77.160230819626406</v>
      </c>
      <c r="F160" s="1">
        <v>5000</v>
      </c>
      <c r="G160" s="1" t="s">
        <v>258</v>
      </c>
      <c r="H160" s="1">
        <v>148</v>
      </c>
      <c r="I160" s="1" t="s">
        <v>44</v>
      </c>
      <c r="J160" s="1" t="s">
        <v>250</v>
      </c>
      <c r="L160" s="1" t="s">
        <v>161</v>
      </c>
      <c r="M160" s="1" t="s">
        <v>134</v>
      </c>
      <c r="N160" s="1" t="s">
        <v>48</v>
      </c>
      <c r="O160" s="1" t="s">
        <v>49</v>
      </c>
      <c r="P160" s="1" t="s">
        <v>162</v>
      </c>
      <c r="S160" s="1">
        <v>47107</v>
      </c>
      <c r="T160" s="1" t="s">
        <v>52</v>
      </c>
      <c r="V160" s="1" t="s">
        <v>53</v>
      </c>
      <c r="W160" s="1" t="s">
        <v>54</v>
      </c>
      <c r="X160" s="1" t="s">
        <v>55</v>
      </c>
      <c r="Y160" s="1" t="s">
        <v>251</v>
      </c>
      <c r="AA160" s="14">
        <v>33604</v>
      </c>
      <c r="AM160" s="3">
        <v>85</v>
      </c>
      <c r="AN160" s="1">
        <v>16</v>
      </c>
      <c r="AO160" s="3">
        <v>8</v>
      </c>
    </row>
    <row r="161" spans="1:41" x14ac:dyDescent="0.25">
      <c r="A161" s="1" t="s">
        <v>259</v>
      </c>
      <c r="C161" s="1" t="s">
        <v>53</v>
      </c>
      <c r="D161" s="1">
        <v>162.58076301188601</v>
      </c>
      <c r="E161" s="1">
        <v>-76.490269917750197</v>
      </c>
      <c r="F161" s="1">
        <v>5000</v>
      </c>
      <c r="G161" s="1" t="s">
        <v>260</v>
      </c>
      <c r="H161" s="1">
        <v>5</v>
      </c>
      <c r="I161" s="1" t="s">
        <v>44</v>
      </c>
      <c r="J161" s="1" t="s">
        <v>250</v>
      </c>
      <c r="L161" s="1" t="s">
        <v>161</v>
      </c>
      <c r="M161" s="1" t="s">
        <v>134</v>
      </c>
      <c r="N161" s="1" t="s">
        <v>48</v>
      </c>
      <c r="O161" s="1" t="s">
        <v>49</v>
      </c>
      <c r="P161" s="1" t="s">
        <v>162</v>
      </c>
      <c r="S161" s="1">
        <v>47142</v>
      </c>
      <c r="T161" s="1" t="s">
        <v>52</v>
      </c>
      <c r="V161" s="1" t="s">
        <v>53</v>
      </c>
      <c r="W161" s="1" t="s">
        <v>54</v>
      </c>
      <c r="X161" s="1" t="s">
        <v>55</v>
      </c>
      <c r="Y161" s="1" t="s">
        <v>251</v>
      </c>
      <c r="AA161" s="14">
        <v>33604</v>
      </c>
      <c r="AM161" s="3">
        <v>61</v>
      </c>
      <c r="AN161" s="1">
        <v>12</v>
      </c>
      <c r="AO161" s="3">
        <v>6</v>
      </c>
    </row>
    <row r="162" spans="1:41" x14ac:dyDescent="0.25">
      <c r="A162" s="1" t="s">
        <v>261</v>
      </c>
      <c r="C162" s="1" t="s">
        <v>53</v>
      </c>
      <c r="D162" s="1">
        <v>163.12078481498199</v>
      </c>
      <c r="E162" s="1">
        <v>-77.020237824678205</v>
      </c>
      <c r="F162" s="1">
        <v>5000</v>
      </c>
      <c r="G162" s="1" t="s">
        <v>262</v>
      </c>
      <c r="H162" s="1">
        <v>7</v>
      </c>
      <c r="I162" s="1" t="s">
        <v>44</v>
      </c>
      <c r="J162" s="1" t="s">
        <v>250</v>
      </c>
      <c r="L162" s="1" t="s">
        <v>161</v>
      </c>
      <c r="M162" s="1" t="s">
        <v>134</v>
      </c>
      <c r="N162" s="1" t="s">
        <v>48</v>
      </c>
      <c r="O162" s="1" t="s">
        <v>49</v>
      </c>
      <c r="P162" s="1" t="s">
        <v>162</v>
      </c>
      <c r="S162" s="1">
        <v>47108</v>
      </c>
      <c r="T162" s="1" t="s">
        <v>52</v>
      </c>
      <c r="V162" s="1" t="s">
        <v>53</v>
      </c>
      <c r="W162" s="1" t="s">
        <v>54</v>
      </c>
      <c r="X162" s="1" t="s">
        <v>55</v>
      </c>
      <c r="Y162" s="1" t="s">
        <v>251</v>
      </c>
      <c r="AA162" s="14">
        <v>33604</v>
      </c>
      <c r="AI162" s="1">
        <v>13.5</v>
      </c>
      <c r="AK162" s="2">
        <v>4.4000000000000004</v>
      </c>
      <c r="AM162" s="3">
        <v>78</v>
      </c>
      <c r="AN162" s="1">
        <v>8</v>
      </c>
      <c r="AO162" s="3">
        <v>4</v>
      </c>
    </row>
    <row r="163" spans="1:41" x14ac:dyDescent="0.25">
      <c r="A163" s="1" t="s">
        <v>261</v>
      </c>
      <c r="C163" s="1" t="s">
        <v>53</v>
      </c>
      <c r="D163" s="1">
        <v>163.12078481498199</v>
      </c>
      <c r="E163" s="1">
        <v>-77.020237824678205</v>
      </c>
      <c r="F163" s="1">
        <v>5000</v>
      </c>
      <c r="G163" s="1" t="s">
        <v>262</v>
      </c>
      <c r="H163" s="1">
        <v>7</v>
      </c>
      <c r="I163" s="1" t="s">
        <v>44</v>
      </c>
      <c r="J163" s="1" t="s">
        <v>250</v>
      </c>
      <c r="L163" s="1" t="s">
        <v>161</v>
      </c>
      <c r="M163" s="1" t="s">
        <v>134</v>
      </c>
      <c r="N163" s="1" t="s">
        <v>48</v>
      </c>
      <c r="O163" s="1" t="s">
        <v>49</v>
      </c>
      <c r="P163" s="1" t="s">
        <v>162</v>
      </c>
      <c r="S163" s="1">
        <v>47109</v>
      </c>
      <c r="T163" s="1" t="s">
        <v>52</v>
      </c>
      <c r="U163" s="1" t="s">
        <v>263</v>
      </c>
      <c r="V163" s="1" t="s">
        <v>53</v>
      </c>
      <c r="W163" s="1" t="s">
        <v>54</v>
      </c>
      <c r="X163" s="1" t="s">
        <v>55</v>
      </c>
      <c r="Y163" s="1" t="s">
        <v>251</v>
      </c>
      <c r="Z163" s="1" t="s">
        <v>264</v>
      </c>
      <c r="AA163" s="14">
        <v>33604</v>
      </c>
      <c r="AM163" s="3">
        <v>88</v>
      </c>
      <c r="AN163" s="1">
        <v>18</v>
      </c>
      <c r="AO163" s="3">
        <v>9</v>
      </c>
    </row>
    <row r="164" spans="1:41" x14ac:dyDescent="0.25">
      <c r="A164" s="1" t="s">
        <v>265</v>
      </c>
      <c r="C164" s="1" t="s">
        <v>53</v>
      </c>
      <c r="D164" s="1">
        <v>162.30077683177501</v>
      </c>
      <c r="E164" s="1">
        <v>-76.530268877110402</v>
      </c>
      <c r="F164" s="1">
        <v>5000</v>
      </c>
      <c r="G164" s="1" t="s">
        <v>266</v>
      </c>
      <c r="H164" s="1">
        <v>556</v>
      </c>
      <c r="I164" s="1" t="s">
        <v>44</v>
      </c>
      <c r="J164" s="1" t="s">
        <v>250</v>
      </c>
      <c r="L164" s="1" t="s">
        <v>161</v>
      </c>
      <c r="M164" s="1" t="s">
        <v>134</v>
      </c>
      <c r="N164" s="1" t="s">
        <v>48</v>
      </c>
      <c r="O164" s="1" t="s">
        <v>49</v>
      </c>
      <c r="P164" s="1" t="s">
        <v>162</v>
      </c>
      <c r="S164" s="1">
        <v>47143</v>
      </c>
      <c r="T164" s="1" t="s">
        <v>52</v>
      </c>
      <c r="V164" s="1" t="s">
        <v>53</v>
      </c>
      <c r="W164" s="1" t="s">
        <v>54</v>
      </c>
      <c r="X164" s="1" t="s">
        <v>55</v>
      </c>
      <c r="Y164" s="1" t="s">
        <v>251</v>
      </c>
      <c r="AA164" s="14">
        <v>33604</v>
      </c>
      <c r="AM164" s="3">
        <v>46</v>
      </c>
      <c r="AN164" s="1">
        <v>6</v>
      </c>
      <c r="AO164" s="3">
        <v>3</v>
      </c>
    </row>
    <row r="165" spans="1:41" x14ac:dyDescent="0.25">
      <c r="A165" s="1" t="s">
        <v>267</v>
      </c>
      <c r="C165" s="1" t="s">
        <v>53</v>
      </c>
      <c r="D165" s="1">
        <v>162.30077683177501</v>
      </c>
      <c r="E165" s="1">
        <v>-76.530268877110402</v>
      </c>
      <c r="F165" s="1">
        <v>5000</v>
      </c>
      <c r="G165" s="1" t="s">
        <v>266</v>
      </c>
      <c r="H165" s="1">
        <v>15</v>
      </c>
      <c r="I165" s="1" t="s">
        <v>44</v>
      </c>
      <c r="J165" s="1" t="s">
        <v>250</v>
      </c>
      <c r="L165" s="1" t="s">
        <v>161</v>
      </c>
      <c r="M165" s="1" t="s">
        <v>134</v>
      </c>
      <c r="N165" s="1" t="s">
        <v>48</v>
      </c>
      <c r="O165" s="1" t="s">
        <v>49</v>
      </c>
      <c r="P165" s="1" t="s">
        <v>162</v>
      </c>
      <c r="S165" s="1">
        <v>47144</v>
      </c>
      <c r="T165" s="1" t="s">
        <v>52</v>
      </c>
      <c r="V165" s="1" t="s">
        <v>53</v>
      </c>
      <c r="W165" s="1" t="s">
        <v>54</v>
      </c>
      <c r="X165" s="1" t="s">
        <v>55</v>
      </c>
      <c r="Y165" s="1" t="s">
        <v>251</v>
      </c>
      <c r="AA165" s="14">
        <v>33604</v>
      </c>
      <c r="AI165" s="1">
        <v>14.1</v>
      </c>
      <c r="AK165" s="2">
        <v>2.8</v>
      </c>
      <c r="AM165" s="3">
        <v>42</v>
      </c>
      <c r="AN165" s="1">
        <v>6</v>
      </c>
      <c r="AO165" s="3">
        <v>3</v>
      </c>
    </row>
    <row r="166" spans="1:41" x14ac:dyDescent="0.25">
      <c r="A166" s="1" t="s">
        <v>267</v>
      </c>
      <c r="C166" s="1" t="s">
        <v>53</v>
      </c>
      <c r="D166" s="1">
        <v>162.30077683177501</v>
      </c>
      <c r="E166" s="1">
        <v>-76.530268877110402</v>
      </c>
      <c r="F166" s="1">
        <v>5000</v>
      </c>
      <c r="G166" s="1" t="s">
        <v>266</v>
      </c>
      <c r="H166" s="1">
        <v>15</v>
      </c>
      <c r="I166" s="1" t="s">
        <v>44</v>
      </c>
      <c r="J166" s="1" t="s">
        <v>250</v>
      </c>
      <c r="L166" s="1" t="s">
        <v>161</v>
      </c>
      <c r="M166" s="1" t="s">
        <v>134</v>
      </c>
      <c r="N166" s="1" t="s">
        <v>48</v>
      </c>
      <c r="O166" s="1" t="s">
        <v>49</v>
      </c>
      <c r="P166" s="1" t="s">
        <v>162</v>
      </c>
      <c r="S166" s="1">
        <v>47145</v>
      </c>
      <c r="T166" s="1" t="s">
        <v>52</v>
      </c>
      <c r="U166" s="1" t="s">
        <v>263</v>
      </c>
      <c r="V166" s="1" t="s">
        <v>53</v>
      </c>
      <c r="W166" s="1" t="s">
        <v>54</v>
      </c>
      <c r="X166" s="1" t="s">
        <v>55</v>
      </c>
      <c r="Y166" s="1" t="s">
        <v>251</v>
      </c>
      <c r="Z166" s="1" t="s">
        <v>264</v>
      </c>
      <c r="AA166" s="14">
        <v>33604</v>
      </c>
      <c r="AM166" s="3">
        <v>50</v>
      </c>
      <c r="AN166" s="1">
        <v>10</v>
      </c>
      <c r="AO166" s="3">
        <v>5</v>
      </c>
    </row>
    <row r="167" spans="1:41" x14ac:dyDescent="0.25">
      <c r="A167" s="1" t="s">
        <v>268</v>
      </c>
      <c r="C167" s="1" t="s">
        <v>53</v>
      </c>
      <c r="D167" s="1">
        <v>162.27081935237399</v>
      </c>
      <c r="E167" s="1">
        <v>-77.0302408884979</v>
      </c>
      <c r="F167" s="1">
        <v>5000</v>
      </c>
      <c r="G167" s="1" t="s">
        <v>249</v>
      </c>
      <c r="H167" s="1">
        <v>76</v>
      </c>
      <c r="I167" s="1" t="s">
        <v>44</v>
      </c>
      <c r="J167" s="1" t="s">
        <v>250</v>
      </c>
      <c r="L167" s="1" t="s">
        <v>161</v>
      </c>
      <c r="M167" s="1" t="s">
        <v>134</v>
      </c>
      <c r="N167" s="1" t="s">
        <v>48</v>
      </c>
      <c r="O167" s="1" t="s">
        <v>49</v>
      </c>
      <c r="P167" s="1" t="s">
        <v>162</v>
      </c>
      <c r="S167" s="1">
        <v>47097</v>
      </c>
      <c r="T167" s="1" t="s">
        <v>52</v>
      </c>
      <c r="V167" s="1" t="s">
        <v>53</v>
      </c>
      <c r="W167" s="1" t="s">
        <v>54</v>
      </c>
      <c r="X167" s="1" t="s">
        <v>55</v>
      </c>
      <c r="Y167" s="1" t="s">
        <v>251</v>
      </c>
      <c r="AA167" s="14">
        <v>33604</v>
      </c>
      <c r="AI167" s="1">
        <v>14</v>
      </c>
      <c r="AK167" s="2">
        <v>3.2</v>
      </c>
      <c r="AM167" s="3">
        <v>51</v>
      </c>
      <c r="AN167" s="1">
        <v>12</v>
      </c>
      <c r="AO167" s="3">
        <v>6</v>
      </c>
    </row>
    <row r="168" spans="1:41" x14ac:dyDescent="0.25">
      <c r="A168" s="1" t="s">
        <v>269</v>
      </c>
      <c r="C168" s="1" t="s">
        <v>53</v>
      </c>
      <c r="D168" s="1">
        <v>162.27081935237399</v>
      </c>
      <c r="E168" s="1">
        <v>-77.0302408884979</v>
      </c>
      <c r="F168" s="1">
        <v>5000</v>
      </c>
      <c r="G168" s="1" t="s">
        <v>249</v>
      </c>
      <c r="H168" s="1">
        <v>222</v>
      </c>
      <c r="I168" s="1" t="s">
        <v>44</v>
      </c>
      <c r="J168" s="1" t="s">
        <v>250</v>
      </c>
      <c r="L168" s="1" t="s">
        <v>161</v>
      </c>
      <c r="M168" s="1" t="s">
        <v>134</v>
      </c>
      <c r="N168" s="1" t="s">
        <v>48</v>
      </c>
      <c r="O168" s="1" t="s">
        <v>49</v>
      </c>
      <c r="P168" s="1" t="s">
        <v>162</v>
      </c>
      <c r="S168" s="1">
        <v>47098</v>
      </c>
      <c r="T168" s="1" t="s">
        <v>52</v>
      </c>
      <c r="V168" s="1" t="s">
        <v>53</v>
      </c>
      <c r="W168" s="1" t="s">
        <v>54</v>
      </c>
      <c r="X168" s="1" t="s">
        <v>55</v>
      </c>
      <c r="Y168" s="1" t="s">
        <v>251</v>
      </c>
      <c r="AA168" s="14">
        <v>33604</v>
      </c>
      <c r="AI168" s="1">
        <v>14.1</v>
      </c>
      <c r="AK168" s="2">
        <v>3.8</v>
      </c>
      <c r="AM168" s="3">
        <v>58</v>
      </c>
      <c r="AN168" s="1">
        <v>12</v>
      </c>
      <c r="AO168" s="3">
        <v>6</v>
      </c>
    </row>
    <row r="169" spans="1:41" x14ac:dyDescent="0.25">
      <c r="A169" s="1" t="s">
        <v>270</v>
      </c>
      <c r="C169" s="1" t="s">
        <v>53</v>
      </c>
      <c r="D169" s="1">
        <v>162.27081935237399</v>
      </c>
      <c r="E169" s="1">
        <v>-77.0302408884979</v>
      </c>
      <c r="F169" s="1">
        <v>5000</v>
      </c>
      <c r="G169" s="1" t="s">
        <v>249</v>
      </c>
      <c r="H169" s="1">
        <v>358</v>
      </c>
      <c r="I169" s="1" t="s">
        <v>44</v>
      </c>
      <c r="J169" s="1" t="s">
        <v>250</v>
      </c>
      <c r="L169" s="1" t="s">
        <v>161</v>
      </c>
      <c r="M169" s="1" t="s">
        <v>134</v>
      </c>
      <c r="N169" s="1" t="s">
        <v>48</v>
      </c>
      <c r="O169" s="1" t="s">
        <v>49</v>
      </c>
      <c r="P169" s="1" t="s">
        <v>162</v>
      </c>
      <c r="S169" s="1">
        <v>47099</v>
      </c>
      <c r="T169" s="1" t="s">
        <v>52</v>
      </c>
      <c r="V169" s="1" t="s">
        <v>53</v>
      </c>
      <c r="W169" s="1" t="s">
        <v>54</v>
      </c>
      <c r="X169" s="1" t="s">
        <v>55</v>
      </c>
      <c r="Y169" s="1" t="s">
        <v>251</v>
      </c>
      <c r="AA169" s="14">
        <v>33604</v>
      </c>
      <c r="AI169" s="1">
        <v>14</v>
      </c>
      <c r="AK169" s="2">
        <v>3.6</v>
      </c>
      <c r="AM169" s="3">
        <v>57</v>
      </c>
      <c r="AN169" s="1">
        <v>8</v>
      </c>
      <c r="AO169" s="3">
        <v>4</v>
      </c>
    </row>
    <row r="170" spans="1:41" x14ac:dyDescent="0.25">
      <c r="A170" s="1" t="s">
        <v>271</v>
      </c>
      <c r="C170" s="1" t="s">
        <v>53</v>
      </c>
      <c r="D170" s="1">
        <v>162.27081935237399</v>
      </c>
      <c r="E170" s="1">
        <v>-77.0302408884979</v>
      </c>
      <c r="F170" s="1">
        <v>5000</v>
      </c>
      <c r="G170" s="1" t="s">
        <v>249</v>
      </c>
      <c r="H170" s="1">
        <v>477</v>
      </c>
      <c r="I170" s="1" t="s">
        <v>44</v>
      </c>
      <c r="J170" s="1" t="s">
        <v>250</v>
      </c>
      <c r="L170" s="1" t="s">
        <v>161</v>
      </c>
      <c r="M170" s="1" t="s">
        <v>134</v>
      </c>
      <c r="N170" s="1" t="s">
        <v>48</v>
      </c>
      <c r="O170" s="1" t="s">
        <v>49</v>
      </c>
      <c r="P170" s="1" t="s">
        <v>162</v>
      </c>
      <c r="S170" s="1">
        <v>47100</v>
      </c>
      <c r="T170" s="1" t="s">
        <v>52</v>
      </c>
      <c r="V170" s="1" t="s">
        <v>53</v>
      </c>
      <c r="W170" s="1" t="s">
        <v>54</v>
      </c>
      <c r="X170" s="1" t="s">
        <v>55</v>
      </c>
      <c r="Y170" s="1" t="s">
        <v>251</v>
      </c>
      <c r="AA170" s="14">
        <v>33604</v>
      </c>
      <c r="AI170" s="1">
        <v>14</v>
      </c>
      <c r="AK170" s="2">
        <v>3.2</v>
      </c>
      <c r="AM170" s="3">
        <v>51</v>
      </c>
      <c r="AN170" s="1">
        <v>10</v>
      </c>
      <c r="AO170" s="3">
        <v>5</v>
      </c>
    </row>
    <row r="171" spans="1:41" x14ac:dyDescent="0.25">
      <c r="A171" s="1" t="s">
        <v>272</v>
      </c>
      <c r="C171" s="1" t="s">
        <v>53</v>
      </c>
      <c r="D171" s="1">
        <v>162.23081921416201</v>
      </c>
      <c r="E171" s="1">
        <v>-77.010242188517793</v>
      </c>
      <c r="F171" s="1">
        <v>5000</v>
      </c>
      <c r="G171" s="1" t="s">
        <v>273</v>
      </c>
      <c r="H171" s="1">
        <v>5</v>
      </c>
      <c r="I171" s="1" t="s">
        <v>44</v>
      </c>
      <c r="J171" s="1" t="s">
        <v>250</v>
      </c>
      <c r="L171" s="1" t="s">
        <v>161</v>
      </c>
      <c r="M171" s="1" t="s">
        <v>134</v>
      </c>
      <c r="N171" s="1" t="s">
        <v>48</v>
      </c>
      <c r="O171" s="1" t="s">
        <v>49</v>
      </c>
      <c r="P171" s="1" t="s">
        <v>162</v>
      </c>
      <c r="S171" s="1">
        <v>47110</v>
      </c>
      <c r="T171" s="1" t="s">
        <v>52</v>
      </c>
      <c r="V171" s="1" t="s">
        <v>53</v>
      </c>
      <c r="W171" s="1" t="s">
        <v>54</v>
      </c>
      <c r="X171" s="1" t="s">
        <v>55</v>
      </c>
      <c r="Y171" s="1" t="s">
        <v>251</v>
      </c>
      <c r="AA171" s="14">
        <v>33604</v>
      </c>
      <c r="AI171" s="1">
        <v>14.3</v>
      </c>
      <c r="AK171" s="2">
        <v>2.8</v>
      </c>
      <c r="AM171" s="3">
        <v>50</v>
      </c>
      <c r="AN171" s="1">
        <v>6</v>
      </c>
      <c r="AO171" s="3">
        <v>3</v>
      </c>
    </row>
    <row r="172" spans="1:41" x14ac:dyDescent="0.25">
      <c r="A172" s="1" t="s">
        <v>274</v>
      </c>
      <c r="C172" s="1" t="s">
        <v>53</v>
      </c>
      <c r="D172" s="1">
        <v>162.27081935237399</v>
      </c>
      <c r="E172" s="1">
        <v>-77.0302408884979</v>
      </c>
      <c r="F172" s="1">
        <v>5000</v>
      </c>
      <c r="G172" s="1" t="s">
        <v>249</v>
      </c>
      <c r="H172" s="1">
        <v>25</v>
      </c>
      <c r="I172" s="1" t="s">
        <v>44</v>
      </c>
      <c r="J172" s="1" t="s">
        <v>250</v>
      </c>
      <c r="L172" s="1" t="s">
        <v>161</v>
      </c>
      <c r="M172" s="1" t="s">
        <v>134</v>
      </c>
      <c r="N172" s="1" t="s">
        <v>48</v>
      </c>
      <c r="O172" s="1" t="s">
        <v>49</v>
      </c>
      <c r="P172" s="1" t="s">
        <v>162</v>
      </c>
      <c r="S172" s="1">
        <v>47111</v>
      </c>
      <c r="T172" s="1" t="s">
        <v>52</v>
      </c>
      <c r="V172" s="1" t="s">
        <v>53</v>
      </c>
      <c r="W172" s="1" t="s">
        <v>54</v>
      </c>
      <c r="X172" s="1" t="s">
        <v>55</v>
      </c>
      <c r="Y172" s="1" t="s">
        <v>251</v>
      </c>
      <c r="AA172" s="14">
        <v>33604</v>
      </c>
      <c r="AI172" s="1">
        <v>14</v>
      </c>
      <c r="AK172" s="2">
        <v>4</v>
      </c>
      <c r="AM172" s="3">
        <v>43</v>
      </c>
      <c r="AN172" s="1">
        <v>6</v>
      </c>
      <c r="AO172" s="3">
        <v>3</v>
      </c>
    </row>
    <row r="173" spans="1:41" x14ac:dyDescent="0.25">
      <c r="A173" s="1" t="s">
        <v>275</v>
      </c>
      <c r="C173" s="1" t="s">
        <v>53</v>
      </c>
      <c r="D173" s="1">
        <v>163.06079222923199</v>
      </c>
      <c r="E173" s="1">
        <v>-77.080234696132294</v>
      </c>
      <c r="F173" s="1">
        <v>5000</v>
      </c>
      <c r="G173" s="1" t="s">
        <v>276</v>
      </c>
      <c r="H173" s="1">
        <v>5</v>
      </c>
      <c r="I173" s="1" t="s">
        <v>44</v>
      </c>
      <c r="J173" s="1" t="s">
        <v>250</v>
      </c>
      <c r="L173" s="1" t="s">
        <v>161</v>
      </c>
      <c r="M173" s="1" t="s">
        <v>134</v>
      </c>
      <c r="N173" s="1" t="s">
        <v>48</v>
      </c>
      <c r="O173" s="1" t="s">
        <v>49</v>
      </c>
      <c r="P173" s="1" t="s">
        <v>162</v>
      </c>
      <c r="S173" s="1">
        <v>47112</v>
      </c>
      <c r="T173" s="1" t="s">
        <v>52</v>
      </c>
      <c r="V173" s="1" t="s">
        <v>53</v>
      </c>
      <c r="W173" s="1" t="s">
        <v>54</v>
      </c>
      <c r="X173" s="1" t="s">
        <v>55</v>
      </c>
      <c r="Y173" s="1" t="s">
        <v>251</v>
      </c>
      <c r="AA173" s="14">
        <v>33604</v>
      </c>
      <c r="AM173" s="3">
        <v>80</v>
      </c>
      <c r="AN173" s="1">
        <v>8</v>
      </c>
      <c r="AO173" s="3">
        <v>4</v>
      </c>
    </row>
    <row r="174" spans="1:41" x14ac:dyDescent="0.25">
      <c r="A174" s="1" t="s">
        <v>275</v>
      </c>
      <c r="C174" s="1" t="s">
        <v>53</v>
      </c>
      <c r="D174" s="1">
        <v>163.06079222923199</v>
      </c>
      <c r="E174" s="1">
        <v>-77.080234696132294</v>
      </c>
      <c r="F174" s="1">
        <v>5000</v>
      </c>
      <c r="G174" s="1" t="s">
        <v>276</v>
      </c>
      <c r="H174" s="1">
        <v>5</v>
      </c>
      <c r="I174" s="1" t="s">
        <v>44</v>
      </c>
      <c r="J174" s="1" t="s">
        <v>250</v>
      </c>
      <c r="L174" s="1" t="s">
        <v>161</v>
      </c>
      <c r="M174" s="1" t="s">
        <v>134</v>
      </c>
      <c r="N174" s="1" t="s">
        <v>48</v>
      </c>
      <c r="O174" s="1" t="s">
        <v>49</v>
      </c>
      <c r="P174" s="1" t="s">
        <v>162</v>
      </c>
      <c r="S174" s="1">
        <v>47113</v>
      </c>
      <c r="T174" s="1" t="s">
        <v>52</v>
      </c>
      <c r="U174" s="1" t="s">
        <v>263</v>
      </c>
      <c r="V174" s="1" t="s">
        <v>53</v>
      </c>
      <c r="W174" s="1" t="s">
        <v>54</v>
      </c>
      <c r="X174" s="1" t="s">
        <v>55</v>
      </c>
      <c r="Y174" s="1" t="s">
        <v>251</v>
      </c>
      <c r="Z174" s="1" t="s">
        <v>264</v>
      </c>
      <c r="AA174" s="14">
        <v>33604</v>
      </c>
      <c r="AM174" s="3">
        <v>83</v>
      </c>
      <c r="AN174" s="1">
        <v>12</v>
      </c>
      <c r="AO174" s="3">
        <v>6</v>
      </c>
    </row>
    <row r="175" spans="1:41" x14ac:dyDescent="0.25">
      <c r="A175" s="1" t="s">
        <v>277</v>
      </c>
      <c r="C175" s="1" t="s">
        <v>53</v>
      </c>
      <c r="D175" s="1">
        <v>162.56080788021299</v>
      </c>
      <c r="E175" s="1">
        <v>-77.030239638699797</v>
      </c>
      <c r="F175" s="1">
        <v>5000</v>
      </c>
      <c r="G175" s="1" t="s">
        <v>278</v>
      </c>
      <c r="H175" s="1">
        <v>1</v>
      </c>
      <c r="I175" s="1" t="s">
        <v>44</v>
      </c>
      <c r="J175" s="1" t="s">
        <v>250</v>
      </c>
      <c r="L175" s="1" t="s">
        <v>161</v>
      </c>
      <c r="M175" s="1" t="s">
        <v>134</v>
      </c>
      <c r="N175" s="1" t="s">
        <v>48</v>
      </c>
      <c r="O175" s="1" t="s">
        <v>49</v>
      </c>
      <c r="P175" s="1" t="s">
        <v>162</v>
      </c>
      <c r="S175" s="1">
        <v>47114</v>
      </c>
      <c r="T175" s="1" t="s">
        <v>52</v>
      </c>
      <c r="V175" s="1" t="s">
        <v>53</v>
      </c>
      <c r="W175" s="1" t="s">
        <v>54</v>
      </c>
      <c r="X175" s="1" t="s">
        <v>55</v>
      </c>
      <c r="Y175" s="1" t="s">
        <v>251</v>
      </c>
      <c r="AA175" s="14">
        <v>33604</v>
      </c>
      <c r="AM175" s="3">
        <v>74</v>
      </c>
      <c r="AN175" s="1">
        <v>14</v>
      </c>
      <c r="AO175" s="3">
        <v>7</v>
      </c>
    </row>
    <row r="176" spans="1:41" x14ac:dyDescent="0.25">
      <c r="A176" s="1" t="s">
        <v>279</v>
      </c>
      <c r="C176" s="1" t="s">
        <v>53</v>
      </c>
      <c r="D176" s="1">
        <v>162.500810256069</v>
      </c>
      <c r="E176" s="1">
        <v>-77.030239896237504</v>
      </c>
      <c r="F176" s="1">
        <v>5000</v>
      </c>
      <c r="G176" s="1" t="s">
        <v>280</v>
      </c>
      <c r="H176" s="1">
        <v>3</v>
      </c>
      <c r="I176" s="1" t="s">
        <v>44</v>
      </c>
      <c r="J176" s="1" t="s">
        <v>250</v>
      </c>
      <c r="L176" s="1" t="s">
        <v>161</v>
      </c>
      <c r="M176" s="1" t="s">
        <v>134</v>
      </c>
      <c r="N176" s="1" t="s">
        <v>48</v>
      </c>
      <c r="O176" s="1" t="s">
        <v>49</v>
      </c>
      <c r="P176" s="1" t="s">
        <v>162</v>
      </c>
      <c r="S176" s="1">
        <v>47115</v>
      </c>
      <c r="T176" s="1" t="s">
        <v>52</v>
      </c>
      <c r="V176" s="1" t="s">
        <v>53</v>
      </c>
      <c r="W176" s="1" t="s">
        <v>54</v>
      </c>
      <c r="X176" s="1" t="s">
        <v>55</v>
      </c>
      <c r="Y176" s="1" t="s">
        <v>251</v>
      </c>
      <c r="AA176" s="14">
        <v>33604</v>
      </c>
      <c r="AM176" s="3">
        <v>81</v>
      </c>
      <c r="AN176" s="1">
        <v>14</v>
      </c>
      <c r="AO176" s="3">
        <v>7</v>
      </c>
    </row>
    <row r="177" spans="1:41" x14ac:dyDescent="0.25">
      <c r="A177" s="1" t="s">
        <v>281</v>
      </c>
      <c r="C177" s="1" t="s">
        <v>53</v>
      </c>
      <c r="D177" s="1">
        <v>162.44081092489799</v>
      </c>
      <c r="E177" s="1">
        <v>-77.010241280990002</v>
      </c>
      <c r="F177" s="1">
        <v>5000</v>
      </c>
      <c r="G177" s="1" t="s">
        <v>282</v>
      </c>
      <c r="H177" s="1">
        <v>3</v>
      </c>
      <c r="I177" s="1" t="s">
        <v>44</v>
      </c>
      <c r="J177" s="1" t="s">
        <v>250</v>
      </c>
      <c r="L177" s="1" t="s">
        <v>161</v>
      </c>
      <c r="M177" s="1" t="s">
        <v>134</v>
      </c>
      <c r="N177" s="1" t="s">
        <v>48</v>
      </c>
      <c r="O177" s="1" t="s">
        <v>49</v>
      </c>
      <c r="P177" s="1" t="s">
        <v>162</v>
      </c>
      <c r="S177" s="1">
        <v>47116</v>
      </c>
      <c r="T177" s="1" t="s">
        <v>52</v>
      </c>
      <c r="V177" s="1" t="s">
        <v>53</v>
      </c>
      <c r="W177" s="1" t="s">
        <v>54</v>
      </c>
      <c r="X177" s="1" t="s">
        <v>55</v>
      </c>
      <c r="Y177" s="1" t="s">
        <v>251</v>
      </c>
      <c r="AA177" s="14">
        <v>33604</v>
      </c>
      <c r="AM177" s="3">
        <v>68</v>
      </c>
      <c r="AN177" s="1">
        <v>16</v>
      </c>
      <c r="AO177" s="3">
        <v>8</v>
      </c>
    </row>
    <row r="178" spans="1:41" x14ac:dyDescent="0.25">
      <c r="A178" s="1" t="s">
        <v>283</v>
      </c>
      <c r="C178" s="1" t="s">
        <v>53</v>
      </c>
      <c r="D178" s="1">
        <v>162.27081935237399</v>
      </c>
      <c r="E178" s="1">
        <v>-77.0302408884979</v>
      </c>
      <c r="F178" s="1">
        <v>5000</v>
      </c>
      <c r="G178" s="1" t="s">
        <v>249</v>
      </c>
      <c r="H178" s="1">
        <v>610</v>
      </c>
      <c r="I178" s="1" t="s">
        <v>44</v>
      </c>
      <c r="J178" s="1" t="s">
        <v>250</v>
      </c>
      <c r="L178" s="1" t="s">
        <v>161</v>
      </c>
      <c r="M178" s="1" t="s">
        <v>134</v>
      </c>
      <c r="N178" s="1" t="s">
        <v>48</v>
      </c>
      <c r="O178" s="1" t="s">
        <v>49</v>
      </c>
      <c r="P178" s="1" t="s">
        <v>162</v>
      </c>
      <c r="S178" s="1">
        <v>47101</v>
      </c>
      <c r="T178" s="1" t="s">
        <v>52</v>
      </c>
      <c r="V178" s="1" t="s">
        <v>53</v>
      </c>
      <c r="W178" s="1" t="s">
        <v>54</v>
      </c>
      <c r="X178" s="1" t="s">
        <v>55</v>
      </c>
      <c r="Y178" s="1" t="s">
        <v>251</v>
      </c>
      <c r="AA178" s="14">
        <v>33604</v>
      </c>
      <c r="AI178" s="1">
        <v>13.4</v>
      </c>
      <c r="AK178" s="2">
        <v>4</v>
      </c>
      <c r="AM178" s="3">
        <v>61</v>
      </c>
      <c r="AN178" s="1">
        <v>8</v>
      </c>
      <c r="AO178" s="3">
        <v>4</v>
      </c>
    </row>
    <row r="179" spans="1:41" x14ac:dyDescent="0.25">
      <c r="A179" s="1" t="s">
        <v>284</v>
      </c>
      <c r="C179" s="1" t="s">
        <v>53</v>
      </c>
      <c r="D179" s="1">
        <v>162.27081935237399</v>
      </c>
      <c r="E179" s="1">
        <v>-77.0302408884979</v>
      </c>
      <c r="F179" s="1">
        <v>5000</v>
      </c>
      <c r="G179" s="1" t="s">
        <v>249</v>
      </c>
      <c r="H179" s="1">
        <v>792</v>
      </c>
      <c r="I179" s="1" t="s">
        <v>44</v>
      </c>
      <c r="J179" s="1" t="s">
        <v>250</v>
      </c>
      <c r="L179" s="1" t="s">
        <v>161</v>
      </c>
      <c r="M179" s="1" t="s">
        <v>134</v>
      </c>
      <c r="N179" s="1" t="s">
        <v>48</v>
      </c>
      <c r="O179" s="1" t="s">
        <v>49</v>
      </c>
      <c r="P179" s="1" t="s">
        <v>162</v>
      </c>
      <c r="S179" s="1">
        <v>47102</v>
      </c>
      <c r="T179" s="1" t="s">
        <v>52</v>
      </c>
      <c r="V179" s="1" t="s">
        <v>53</v>
      </c>
      <c r="W179" s="1" t="s">
        <v>54</v>
      </c>
      <c r="X179" s="1" t="s">
        <v>55</v>
      </c>
      <c r="Y179" s="1" t="s">
        <v>251</v>
      </c>
      <c r="AA179" s="14">
        <v>33604</v>
      </c>
      <c r="AI179" s="1">
        <v>13.3</v>
      </c>
      <c r="AK179" s="2">
        <v>4.4000000000000004</v>
      </c>
      <c r="AM179" s="3">
        <v>70</v>
      </c>
      <c r="AN179" s="1">
        <v>14</v>
      </c>
      <c r="AO179" s="3">
        <v>7</v>
      </c>
    </row>
    <row r="180" spans="1:41" x14ac:dyDescent="0.25">
      <c r="A180" s="1" t="s">
        <v>285</v>
      </c>
      <c r="C180" s="1" t="s">
        <v>53</v>
      </c>
      <c r="D180" s="1">
        <v>162.27081935237399</v>
      </c>
      <c r="E180" s="1">
        <v>-77.0302408884979</v>
      </c>
      <c r="F180" s="1">
        <v>5000</v>
      </c>
      <c r="G180" s="1" t="s">
        <v>249</v>
      </c>
      <c r="H180" s="1">
        <v>985</v>
      </c>
      <c r="I180" s="1" t="s">
        <v>44</v>
      </c>
      <c r="J180" s="1" t="s">
        <v>250</v>
      </c>
      <c r="L180" s="1" t="s">
        <v>161</v>
      </c>
      <c r="M180" s="1" t="s">
        <v>134</v>
      </c>
      <c r="N180" s="1" t="s">
        <v>48</v>
      </c>
      <c r="O180" s="1" t="s">
        <v>49</v>
      </c>
      <c r="P180" s="1" t="s">
        <v>162</v>
      </c>
      <c r="S180" s="1">
        <v>47103</v>
      </c>
      <c r="T180" s="1" t="s">
        <v>52</v>
      </c>
      <c r="V180" s="1" t="s">
        <v>53</v>
      </c>
      <c r="W180" s="1" t="s">
        <v>54</v>
      </c>
      <c r="X180" s="1" t="s">
        <v>55</v>
      </c>
      <c r="Y180" s="1" t="s">
        <v>251</v>
      </c>
      <c r="AA180" s="14">
        <v>33604</v>
      </c>
      <c r="AI180" s="1">
        <v>13</v>
      </c>
      <c r="AK180" s="2">
        <v>4.4000000000000004</v>
      </c>
      <c r="AM180" s="3">
        <v>82</v>
      </c>
      <c r="AN180" s="1">
        <v>8</v>
      </c>
      <c r="AO180" s="3">
        <v>4</v>
      </c>
    </row>
    <row r="181" spans="1:41" x14ac:dyDescent="0.25">
      <c r="A181" s="1" t="s">
        <v>286</v>
      </c>
      <c r="C181" s="1" t="s">
        <v>53</v>
      </c>
      <c r="D181" s="1">
        <v>162.30081559758901</v>
      </c>
      <c r="E181" s="1">
        <v>-77.000242448536198</v>
      </c>
      <c r="F181" s="1">
        <v>5000</v>
      </c>
      <c r="G181" s="1" t="s">
        <v>287</v>
      </c>
      <c r="H181" s="1">
        <v>1</v>
      </c>
      <c r="I181" s="1" t="s">
        <v>44</v>
      </c>
      <c r="J181" s="1" t="s">
        <v>250</v>
      </c>
      <c r="L181" s="1" t="s">
        <v>161</v>
      </c>
      <c r="M181" s="1" t="s">
        <v>134</v>
      </c>
      <c r="N181" s="1" t="s">
        <v>48</v>
      </c>
      <c r="O181" s="1" t="s">
        <v>49</v>
      </c>
      <c r="P181" s="1" t="s">
        <v>162</v>
      </c>
      <c r="S181" s="1">
        <v>47117</v>
      </c>
      <c r="T181" s="1" t="s">
        <v>52</v>
      </c>
      <c r="V181" s="1" t="s">
        <v>53</v>
      </c>
      <c r="W181" s="1" t="s">
        <v>54</v>
      </c>
      <c r="X181" s="1" t="s">
        <v>55</v>
      </c>
      <c r="Y181" s="1" t="s">
        <v>251</v>
      </c>
      <c r="AA181" s="14">
        <v>33604</v>
      </c>
      <c r="AI181" s="1">
        <v>14.7</v>
      </c>
      <c r="AK181" s="2">
        <v>2.8</v>
      </c>
      <c r="AM181" s="3">
        <v>51</v>
      </c>
      <c r="AN181" s="1">
        <v>4</v>
      </c>
      <c r="AO181" s="3">
        <v>2</v>
      </c>
    </row>
    <row r="182" spans="1:41" x14ac:dyDescent="0.25">
      <c r="A182" s="1" t="s">
        <v>286</v>
      </c>
      <c r="C182" s="1" t="s">
        <v>53</v>
      </c>
      <c r="D182" s="1">
        <v>162.30081559758901</v>
      </c>
      <c r="E182" s="1">
        <v>-77.000242448536198</v>
      </c>
      <c r="F182" s="1">
        <v>5000</v>
      </c>
      <c r="G182" s="1" t="s">
        <v>287</v>
      </c>
      <c r="H182" s="1">
        <v>1</v>
      </c>
      <c r="I182" s="1" t="s">
        <v>44</v>
      </c>
      <c r="J182" s="1" t="s">
        <v>250</v>
      </c>
      <c r="L182" s="1" t="s">
        <v>161</v>
      </c>
      <c r="M182" s="1" t="s">
        <v>134</v>
      </c>
      <c r="N182" s="1" t="s">
        <v>48</v>
      </c>
      <c r="O182" s="1" t="s">
        <v>49</v>
      </c>
      <c r="P182" s="1" t="s">
        <v>162</v>
      </c>
      <c r="S182" s="1">
        <v>47118</v>
      </c>
      <c r="T182" s="1" t="s">
        <v>52</v>
      </c>
      <c r="U182" s="1" t="s">
        <v>263</v>
      </c>
      <c r="V182" s="1" t="s">
        <v>53</v>
      </c>
      <c r="W182" s="1" t="s">
        <v>54</v>
      </c>
      <c r="X182" s="1" t="s">
        <v>55</v>
      </c>
      <c r="Y182" s="1" t="s">
        <v>251</v>
      </c>
      <c r="Z182" s="1" t="s">
        <v>264</v>
      </c>
      <c r="AA182" s="14">
        <v>33604</v>
      </c>
      <c r="AM182" s="3">
        <v>52</v>
      </c>
      <c r="AN182" s="1">
        <v>6</v>
      </c>
      <c r="AO182" s="3">
        <v>3</v>
      </c>
    </row>
    <row r="183" spans="1:41" x14ac:dyDescent="0.25">
      <c r="A183" s="1" t="s">
        <v>288</v>
      </c>
      <c r="C183" s="1" t="s">
        <v>53</v>
      </c>
      <c r="D183" s="1">
        <v>162.80080090096001</v>
      </c>
      <c r="E183" s="1">
        <v>-77.060236923607803</v>
      </c>
      <c r="F183" s="1">
        <v>5000</v>
      </c>
      <c r="G183" s="1" t="s">
        <v>289</v>
      </c>
      <c r="H183" s="1">
        <v>481</v>
      </c>
      <c r="I183" s="1" t="s">
        <v>44</v>
      </c>
      <c r="J183" s="1" t="s">
        <v>250</v>
      </c>
      <c r="L183" s="1" t="s">
        <v>161</v>
      </c>
      <c r="M183" s="1" t="s">
        <v>134</v>
      </c>
      <c r="N183" s="1" t="s">
        <v>48</v>
      </c>
      <c r="O183" s="1" t="s">
        <v>49</v>
      </c>
      <c r="P183" s="1" t="s">
        <v>162</v>
      </c>
      <c r="S183" s="1">
        <v>47125</v>
      </c>
      <c r="T183" s="1" t="s">
        <v>52</v>
      </c>
      <c r="V183" s="1" t="s">
        <v>53</v>
      </c>
      <c r="W183" s="1" t="s">
        <v>54</v>
      </c>
      <c r="X183" s="1" t="s">
        <v>55</v>
      </c>
      <c r="Y183" s="1" t="s">
        <v>251</v>
      </c>
      <c r="AA183" s="14">
        <v>33604</v>
      </c>
      <c r="AI183" s="1">
        <v>13.1</v>
      </c>
      <c r="AK183" s="2">
        <v>4</v>
      </c>
      <c r="AM183" s="3">
        <v>92</v>
      </c>
      <c r="AN183" s="1">
        <v>6</v>
      </c>
      <c r="AO183" s="3">
        <v>3</v>
      </c>
    </row>
    <row r="184" spans="1:41" x14ac:dyDescent="0.25">
      <c r="A184" s="1" t="s">
        <v>290</v>
      </c>
      <c r="C184" s="1" t="s">
        <v>53</v>
      </c>
      <c r="D184" s="1">
        <v>162.80080090096001</v>
      </c>
      <c r="E184" s="1">
        <v>-77.060236923607803</v>
      </c>
      <c r="F184" s="1">
        <v>5000</v>
      </c>
      <c r="G184" s="1" t="s">
        <v>289</v>
      </c>
      <c r="H184" s="1">
        <v>450</v>
      </c>
      <c r="I184" s="1" t="s">
        <v>44</v>
      </c>
      <c r="J184" s="1" t="s">
        <v>250</v>
      </c>
      <c r="L184" s="1" t="s">
        <v>161</v>
      </c>
      <c r="M184" s="1" t="s">
        <v>134</v>
      </c>
      <c r="N184" s="1" t="s">
        <v>48</v>
      </c>
      <c r="O184" s="1" t="s">
        <v>49</v>
      </c>
      <c r="P184" s="1" t="s">
        <v>162</v>
      </c>
      <c r="S184" s="1">
        <v>47126</v>
      </c>
      <c r="T184" s="1" t="s">
        <v>52</v>
      </c>
      <c r="V184" s="1" t="s">
        <v>53</v>
      </c>
      <c r="W184" s="1" t="s">
        <v>54</v>
      </c>
      <c r="X184" s="1" t="s">
        <v>55</v>
      </c>
      <c r="Y184" s="1" t="s">
        <v>251</v>
      </c>
      <c r="AA184" s="14">
        <v>33604</v>
      </c>
      <c r="AM184" s="3">
        <v>101</v>
      </c>
      <c r="AN184" s="1">
        <v>16</v>
      </c>
      <c r="AO184" s="3">
        <v>8</v>
      </c>
    </row>
    <row r="185" spans="1:41" x14ac:dyDescent="0.25">
      <c r="A185" s="1" t="s">
        <v>291</v>
      </c>
      <c r="C185" s="1" t="s">
        <v>53</v>
      </c>
      <c r="D185" s="1">
        <v>162.06083548653999</v>
      </c>
      <c r="E185" s="1">
        <v>-77.120236729748896</v>
      </c>
      <c r="F185" s="1">
        <v>5000</v>
      </c>
      <c r="G185" s="1" t="s">
        <v>292</v>
      </c>
      <c r="H185" s="1">
        <v>431</v>
      </c>
      <c r="I185" s="1" t="s">
        <v>44</v>
      </c>
      <c r="J185" s="1" t="s">
        <v>250</v>
      </c>
      <c r="L185" s="1" t="s">
        <v>161</v>
      </c>
      <c r="M185" s="1" t="s">
        <v>134</v>
      </c>
      <c r="N185" s="1" t="s">
        <v>48</v>
      </c>
      <c r="O185" s="1" t="s">
        <v>49</v>
      </c>
      <c r="P185" s="1" t="s">
        <v>162</v>
      </c>
      <c r="S185" s="1">
        <v>47127</v>
      </c>
      <c r="T185" s="1" t="s">
        <v>52</v>
      </c>
      <c r="V185" s="1" t="s">
        <v>53</v>
      </c>
      <c r="W185" s="1" t="s">
        <v>54</v>
      </c>
      <c r="X185" s="1" t="s">
        <v>55</v>
      </c>
      <c r="Y185" s="1" t="s">
        <v>251</v>
      </c>
      <c r="AA185" s="14">
        <v>33604</v>
      </c>
      <c r="AM185" s="3">
        <v>80</v>
      </c>
      <c r="AN185" s="1">
        <v>8</v>
      </c>
      <c r="AO185" s="3">
        <v>4</v>
      </c>
    </row>
    <row r="186" spans="1:41" x14ac:dyDescent="0.25">
      <c r="A186" s="1" t="s">
        <v>293</v>
      </c>
      <c r="C186" s="1" t="s">
        <v>53</v>
      </c>
      <c r="D186" s="1">
        <v>161.36085694182501</v>
      </c>
      <c r="E186" s="1">
        <v>-77.050243765733995</v>
      </c>
      <c r="F186" s="1">
        <v>5000</v>
      </c>
      <c r="G186" s="1" t="s">
        <v>294</v>
      </c>
      <c r="H186" s="1">
        <v>396</v>
      </c>
      <c r="I186" s="1" t="s">
        <v>44</v>
      </c>
      <c r="J186" s="1" t="s">
        <v>250</v>
      </c>
      <c r="L186" s="1" t="s">
        <v>161</v>
      </c>
      <c r="M186" s="1" t="s">
        <v>134</v>
      </c>
      <c r="N186" s="1" t="s">
        <v>48</v>
      </c>
      <c r="O186" s="1" t="s">
        <v>49</v>
      </c>
      <c r="P186" s="1" t="s">
        <v>162</v>
      </c>
      <c r="S186" s="1">
        <v>47128</v>
      </c>
      <c r="T186" s="1" t="s">
        <v>52</v>
      </c>
      <c r="V186" s="1" t="s">
        <v>53</v>
      </c>
      <c r="W186" s="1" t="s">
        <v>54</v>
      </c>
      <c r="X186" s="1" t="s">
        <v>55</v>
      </c>
      <c r="Y186" s="1" t="s">
        <v>251</v>
      </c>
      <c r="AA186" s="14">
        <v>33604</v>
      </c>
      <c r="AI186" s="1">
        <v>12.8</v>
      </c>
      <c r="AK186" s="2">
        <v>4</v>
      </c>
      <c r="AM186" s="3">
        <v>90</v>
      </c>
      <c r="AN186" s="1">
        <v>6</v>
      </c>
      <c r="AO186" s="3">
        <v>3</v>
      </c>
    </row>
    <row r="187" spans="1:41" x14ac:dyDescent="0.25">
      <c r="A187" s="1" t="s">
        <v>295</v>
      </c>
      <c r="C187" s="1" t="s">
        <v>53</v>
      </c>
      <c r="D187" s="1">
        <v>161.36085694182501</v>
      </c>
      <c r="E187" s="1">
        <v>-77.050243765733995</v>
      </c>
      <c r="F187" s="1">
        <v>5000</v>
      </c>
      <c r="G187" s="1" t="s">
        <v>294</v>
      </c>
      <c r="H187" s="1">
        <v>433</v>
      </c>
      <c r="I187" s="1" t="s">
        <v>44</v>
      </c>
      <c r="J187" s="1" t="s">
        <v>250</v>
      </c>
      <c r="L187" s="1" t="s">
        <v>161</v>
      </c>
      <c r="M187" s="1" t="s">
        <v>134</v>
      </c>
      <c r="N187" s="1" t="s">
        <v>48</v>
      </c>
      <c r="O187" s="1" t="s">
        <v>49</v>
      </c>
      <c r="P187" s="1" t="s">
        <v>162</v>
      </c>
      <c r="S187" s="1">
        <v>47129</v>
      </c>
      <c r="T187" s="1" t="s">
        <v>52</v>
      </c>
      <c r="V187" s="1" t="s">
        <v>53</v>
      </c>
      <c r="W187" s="1" t="s">
        <v>54</v>
      </c>
      <c r="X187" s="1" t="s">
        <v>55</v>
      </c>
      <c r="Y187" s="1" t="s">
        <v>251</v>
      </c>
      <c r="AA187" s="14">
        <v>33604</v>
      </c>
      <c r="AM187" s="3">
        <v>80</v>
      </c>
      <c r="AN187" s="1">
        <v>10</v>
      </c>
      <c r="AO187" s="3">
        <v>5</v>
      </c>
    </row>
    <row r="188" spans="1:41" x14ac:dyDescent="0.25">
      <c r="A188" s="1" t="s">
        <v>296</v>
      </c>
      <c r="C188" s="1" t="s">
        <v>53</v>
      </c>
      <c r="D188" s="1">
        <v>161.40085714978801</v>
      </c>
      <c r="E188" s="1">
        <v>-77.070242460305806</v>
      </c>
      <c r="F188" s="1">
        <v>5000</v>
      </c>
      <c r="G188" s="1" t="s">
        <v>297</v>
      </c>
      <c r="H188" s="1">
        <v>503</v>
      </c>
      <c r="I188" s="1" t="s">
        <v>44</v>
      </c>
      <c r="J188" s="1" t="s">
        <v>250</v>
      </c>
      <c r="L188" s="1" t="s">
        <v>161</v>
      </c>
      <c r="M188" s="1" t="s">
        <v>134</v>
      </c>
      <c r="N188" s="1" t="s">
        <v>48</v>
      </c>
      <c r="O188" s="1" t="s">
        <v>49</v>
      </c>
      <c r="P188" s="1" t="s">
        <v>162</v>
      </c>
      <c r="S188" s="1">
        <v>47130</v>
      </c>
      <c r="T188" s="1" t="s">
        <v>52</v>
      </c>
      <c r="V188" s="1" t="s">
        <v>53</v>
      </c>
      <c r="W188" s="1" t="s">
        <v>54</v>
      </c>
      <c r="X188" s="1" t="s">
        <v>55</v>
      </c>
      <c r="Y188" s="1" t="s">
        <v>251</v>
      </c>
      <c r="AA188" s="14">
        <v>33604</v>
      </c>
      <c r="AI188" s="1">
        <v>15</v>
      </c>
      <c r="AK188" s="2">
        <v>2.6</v>
      </c>
      <c r="AM188" s="3">
        <v>46</v>
      </c>
      <c r="AN188" s="1">
        <v>6</v>
      </c>
      <c r="AO188" s="3">
        <v>3</v>
      </c>
    </row>
    <row r="189" spans="1:41" x14ac:dyDescent="0.25">
      <c r="A189" s="1" t="s">
        <v>298</v>
      </c>
      <c r="C189" s="1" t="s">
        <v>53</v>
      </c>
      <c r="D189" s="1">
        <v>162.00083786853301</v>
      </c>
      <c r="E189" s="1">
        <v>-77.120236991849396</v>
      </c>
      <c r="F189" s="1">
        <v>5000</v>
      </c>
      <c r="G189" s="1" t="s">
        <v>299</v>
      </c>
      <c r="H189" s="1">
        <v>403</v>
      </c>
      <c r="I189" s="1" t="s">
        <v>44</v>
      </c>
      <c r="J189" s="1" t="s">
        <v>250</v>
      </c>
      <c r="L189" s="1" t="s">
        <v>161</v>
      </c>
      <c r="M189" s="1" t="s">
        <v>134</v>
      </c>
      <c r="N189" s="1" t="s">
        <v>48</v>
      </c>
      <c r="O189" s="1" t="s">
        <v>49</v>
      </c>
      <c r="P189" s="1" t="s">
        <v>162</v>
      </c>
      <c r="S189" s="1">
        <v>47131</v>
      </c>
      <c r="T189" s="1" t="s">
        <v>52</v>
      </c>
      <c r="V189" s="1" t="s">
        <v>53</v>
      </c>
      <c r="W189" s="1" t="s">
        <v>54</v>
      </c>
      <c r="X189" s="1" t="s">
        <v>55</v>
      </c>
      <c r="Y189" s="1" t="s">
        <v>251</v>
      </c>
      <c r="AA189" s="14">
        <v>33604</v>
      </c>
      <c r="AI189" s="1">
        <v>13.3</v>
      </c>
      <c r="AK189" s="2">
        <v>4</v>
      </c>
      <c r="AM189" s="3">
        <v>101</v>
      </c>
      <c r="AN189" s="1">
        <v>8</v>
      </c>
      <c r="AO189" s="3">
        <v>4</v>
      </c>
    </row>
    <row r="190" spans="1:41" x14ac:dyDescent="0.25">
      <c r="A190" s="1" t="s">
        <v>298</v>
      </c>
      <c r="C190" s="1" t="s">
        <v>53</v>
      </c>
      <c r="D190" s="1">
        <v>162.00083786853301</v>
      </c>
      <c r="E190" s="1">
        <v>-77.120236991849396</v>
      </c>
      <c r="F190" s="1">
        <v>5000</v>
      </c>
      <c r="G190" s="1" t="s">
        <v>299</v>
      </c>
      <c r="H190" s="1">
        <v>403</v>
      </c>
      <c r="I190" s="1" t="s">
        <v>44</v>
      </c>
      <c r="J190" s="1" t="s">
        <v>250</v>
      </c>
      <c r="L190" s="1" t="s">
        <v>161</v>
      </c>
      <c r="M190" s="1" t="s">
        <v>134</v>
      </c>
      <c r="N190" s="1" t="s">
        <v>48</v>
      </c>
      <c r="O190" s="1" t="s">
        <v>49</v>
      </c>
      <c r="P190" s="1" t="s">
        <v>162</v>
      </c>
      <c r="S190" s="1">
        <v>47132</v>
      </c>
      <c r="T190" s="1" t="s">
        <v>52</v>
      </c>
      <c r="U190" s="1" t="s">
        <v>263</v>
      </c>
      <c r="V190" s="1" t="s">
        <v>53</v>
      </c>
      <c r="W190" s="1" t="s">
        <v>54</v>
      </c>
      <c r="X190" s="1" t="s">
        <v>55</v>
      </c>
      <c r="Y190" s="1" t="s">
        <v>251</v>
      </c>
      <c r="Z190" s="1" t="s">
        <v>264</v>
      </c>
      <c r="AA190" s="14">
        <v>33604</v>
      </c>
      <c r="AM190" s="3">
        <v>103</v>
      </c>
      <c r="AN190" s="1">
        <v>12</v>
      </c>
      <c r="AO190" s="3">
        <v>6</v>
      </c>
    </row>
    <row r="191" spans="1:41" x14ac:dyDescent="0.25">
      <c r="A191" s="1" t="s">
        <v>300</v>
      </c>
      <c r="C191" s="1" t="s">
        <v>53</v>
      </c>
      <c r="D191" s="1">
        <v>161.42085192976199</v>
      </c>
      <c r="E191" s="1">
        <v>-77.0202451878489</v>
      </c>
      <c r="F191" s="1">
        <v>5000</v>
      </c>
      <c r="G191" s="1" t="s">
        <v>301</v>
      </c>
      <c r="H191" s="1">
        <v>650</v>
      </c>
      <c r="I191" s="1" t="s">
        <v>44</v>
      </c>
      <c r="J191" s="1" t="s">
        <v>250</v>
      </c>
      <c r="L191" s="1" t="s">
        <v>161</v>
      </c>
      <c r="M191" s="1" t="s">
        <v>134</v>
      </c>
      <c r="N191" s="1" t="s">
        <v>48</v>
      </c>
      <c r="O191" s="1" t="s">
        <v>49</v>
      </c>
      <c r="P191" s="1" t="s">
        <v>162</v>
      </c>
      <c r="S191" s="1">
        <v>47133</v>
      </c>
      <c r="T191" s="1" t="s">
        <v>52</v>
      </c>
      <c r="V191" s="1" t="s">
        <v>53</v>
      </c>
      <c r="W191" s="1" t="s">
        <v>54</v>
      </c>
      <c r="X191" s="1" t="s">
        <v>55</v>
      </c>
      <c r="Y191" s="1" t="s">
        <v>251</v>
      </c>
      <c r="AA191" s="14">
        <v>33604</v>
      </c>
      <c r="AI191" s="1">
        <v>12.9</v>
      </c>
      <c r="AK191" s="2">
        <v>4.2</v>
      </c>
      <c r="AM191" s="3">
        <v>89</v>
      </c>
      <c r="AN191" s="1">
        <v>10</v>
      </c>
      <c r="AO191" s="3">
        <v>5</v>
      </c>
    </row>
    <row r="192" spans="1:41" x14ac:dyDescent="0.25">
      <c r="A192" s="1" t="s">
        <v>300</v>
      </c>
      <c r="C192" s="1" t="s">
        <v>53</v>
      </c>
      <c r="D192" s="1">
        <v>161.42085192976199</v>
      </c>
      <c r="E192" s="1">
        <v>-77.0202451878489</v>
      </c>
      <c r="F192" s="1">
        <v>5000</v>
      </c>
      <c r="G192" s="1" t="s">
        <v>301</v>
      </c>
      <c r="H192" s="1">
        <v>650</v>
      </c>
      <c r="I192" s="1" t="s">
        <v>44</v>
      </c>
      <c r="J192" s="1" t="s">
        <v>250</v>
      </c>
      <c r="L192" s="1" t="s">
        <v>161</v>
      </c>
      <c r="M192" s="1" t="s">
        <v>134</v>
      </c>
      <c r="N192" s="1" t="s">
        <v>48</v>
      </c>
      <c r="O192" s="1" t="s">
        <v>49</v>
      </c>
      <c r="P192" s="1" t="s">
        <v>162</v>
      </c>
      <c r="S192" s="1">
        <v>47134</v>
      </c>
      <c r="T192" s="1" t="s">
        <v>52</v>
      </c>
      <c r="U192" s="1" t="s">
        <v>263</v>
      </c>
      <c r="V192" s="1" t="s">
        <v>53</v>
      </c>
      <c r="W192" s="1" t="s">
        <v>54</v>
      </c>
      <c r="X192" s="1" t="s">
        <v>55</v>
      </c>
      <c r="Y192" s="1" t="s">
        <v>251</v>
      </c>
      <c r="Z192" s="1" t="s">
        <v>264</v>
      </c>
      <c r="AA192" s="14">
        <v>33604</v>
      </c>
      <c r="AM192" s="3">
        <v>105</v>
      </c>
      <c r="AN192" s="1">
        <v>10</v>
      </c>
      <c r="AO192" s="3">
        <v>5</v>
      </c>
    </row>
    <row r="193" spans="1:41" x14ac:dyDescent="0.25">
      <c r="A193" s="1" t="s">
        <v>302</v>
      </c>
      <c r="C193" s="1" t="s">
        <v>53</v>
      </c>
      <c r="D193" s="1">
        <v>161.100871638943</v>
      </c>
      <c r="E193" s="1">
        <v>-77.100242115307495</v>
      </c>
      <c r="F193" s="1">
        <v>5000</v>
      </c>
      <c r="G193" s="1" t="s">
        <v>303</v>
      </c>
      <c r="H193" s="1">
        <v>995</v>
      </c>
      <c r="I193" s="1" t="s">
        <v>44</v>
      </c>
      <c r="J193" s="1" t="s">
        <v>304</v>
      </c>
      <c r="L193" s="1" t="s">
        <v>305</v>
      </c>
      <c r="M193" s="1" t="s">
        <v>169</v>
      </c>
      <c r="N193" s="1" t="s">
        <v>49</v>
      </c>
      <c r="O193" s="1" t="s">
        <v>306</v>
      </c>
      <c r="P193" s="1" t="s">
        <v>162</v>
      </c>
      <c r="S193" s="1">
        <v>47135</v>
      </c>
      <c r="T193" s="1" t="s">
        <v>52</v>
      </c>
      <c r="V193" s="1" t="s">
        <v>53</v>
      </c>
      <c r="W193" s="1" t="s">
        <v>54</v>
      </c>
      <c r="X193" s="1" t="s">
        <v>55</v>
      </c>
      <c r="Y193" s="1" t="s">
        <v>251</v>
      </c>
      <c r="AA193" s="14">
        <v>33604</v>
      </c>
      <c r="AI193" s="1">
        <v>12.5</v>
      </c>
      <c r="AK193" s="2">
        <v>4.4000000000000004</v>
      </c>
      <c r="AM193" s="3">
        <v>172</v>
      </c>
      <c r="AN193" s="1">
        <v>20</v>
      </c>
      <c r="AO193" s="3">
        <v>10</v>
      </c>
    </row>
    <row r="194" spans="1:41" x14ac:dyDescent="0.25">
      <c r="A194" s="1" t="s">
        <v>307</v>
      </c>
      <c r="C194" s="1" t="s">
        <v>53</v>
      </c>
      <c r="D194" s="1">
        <v>162.03082795939901</v>
      </c>
      <c r="E194" s="1">
        <v>-77.020242495720396</v>
      </c>
      <c r="F194" s="1">
        <v>5000</v>
      </c>
      <c r="G194" s="1" t="s">
        <v>308</v>
      </c>
      <c r="H194" s="1">
        <v>458</v>
      </c>
      <c r="I194" s="1" t="s">
        <v>44</v>
      </c>
      <c r="J194" s="1" t="s">
        <v>250</v>
      </c>
      <c r="L194" s="1" t="s">
        <v>161</v>
      </c>
      <c r="M194" s="1" t="s">
        <v>134</v>
      </c>
      <c r="N194" s="1" t="s">
        <v>48</v>
      </c>
      <c r="O194" s="1" t="s">
        <v>49</v>
      </c>
      <c r="P194" s="1" t="s">
        <v>162</v>
      </c>
      <c r="S194" s="1">
        <v>47136</v>
      </c>
      <c r="T194" s="1" t="s">
        <v>52</v>
      </c>
      <c r="U194" s="1" t="s">
        <v>255</v>
      </c>
      <c r="V194" s="1" t="s">
        <v>53</v>
      </c>
      <c r="W194" s="1" t="s">
        <v>54</v>
      </c>
      <c r="X194" s="1" t="s">
        <v>55</v>
      </c>
      <c r="Y194" s="1" t="s">
        <v>251</v>
      </c>
      <c r="AA194" s="14">
        <v>33604</v>
      </c>
      <c r="AM194" s="3">
        <v>83</v>
      </c>
      <c r="AN194" s="1">
        <v>12</v>
      </c>
      <c r="AO194" s="3">
        <v>6</v>
      </c>
    </row>
    <row r="195" spans="1:41" x14ac:dyDescent="0.25">
      <c r="A195" s="1" t="s">
        <v>307</v>
      </c>
      <c r="C195" s="1" t="s">
        <v>53</v>
      </c>
      <c r="D195" s="1">
        <v>162.03082795939901</v>
      </c>
      <c r="E195" s="1">
        <v>-77.020242495720396</v>
      </c>
      <c r="F195" s="1">
        <v>5000</v>
      </c>
      <c r="G195" s="1" t="s">
        <v>308</v>
      </c>
      <c r="H195" s="1">
        <v>458</v>
      </c>
      <c r="I195" s="1" t="s">
        <v>44</v>
      </c>
      <c r="J195" s="1" t="s">
        <v>250</v>
      </c>
      <c r="L195" s="1" t="s">
        <v>161</v>
      </c>
      <c r="M195" s="1" t="s">
        <v>134</v>
      </c>
      <c r="N195" s="1" t="s">
        <v>48</v>
      </c>
      <c r="O195" s="1" t="s">
        <v>49</v>
      </c>
      <c r="P195" s="1" t="s">
        <v>162</v>
      </c>
      <c r="S195" s="1">
        <v>47137</v>
      </c>
      <c r="T195" s="1" t="s">
        <v>52</v>
      </c>
      <c r="U195" s="1" t="s">
        <v>256</v>
      </c>
      <c r="V195" s="1" t="s">
        <v>53</v>
      </c>
      <c r="W195" s="1" t="s">
        <v>54</v>
      </c>
      <c r="X195" s="1" t="s">
        <v>55</v>
      </c>
      <c r="Y195" s="1" t="s">
        <v>251</v>
      </c>
      <c r="AA195" s="14">
        <v>33604</v>
      </c>
      <c r="AM195" s="3">
        <v>89</v>
      </c>
      <c r="AN195" s="1">
        <v>12</v>
      </c>
      <c r="AO195" s="3">
        <v>6</v>
      </c>
    </row>
    <row r="196" spans="1:41" x14ac:dyDescent="0.25">
      <c r="A196" s="1" t="s">
        <v>307</v>
      </c>
      <c r="C196" s="1" t="s">
        <v>53</v>
      </c>
      <c r="D196" s="1">
        <v>162.03082795939901</v>
      </c>
      <c r="E196" s="1">
        <v>-77.020242495720396</v>
      </c>
      <c r="F196" s="1">
        <v>5000</v>
      </c>
      <c r="G196" s="1" t="s">
        <v>308</v>
      </c>
      <c r="H196" s="1">
        <v>458</v>
      </c>
      <c r="I196" s="1" t="s">
        <v>44</v>
      </c>
      <c r="J196" s="1" t="s">
        <v>250</v>
      </c>
      <c r="L196" s="1" t="s">
        <v>161</v>
      </c>
      <c r="M196" s="1" t="s">
        <v>134</v>
      </c>
      <c r="N196" s="1" t="s">
        <v>48</v>
      </c>
      <c r="O196" s="1" t="s">
        <v>49</v>
      </c>
      <c r="P196" s="1" t="s">
        <v>162</v>
      </c>
      <c r="S196" s="1">
        <v>47138</v>
      </c>
      <c r="T196" s="1" t="s">
        <v>52</v>
      </c>
      <c r="U196" s="1" t="s">
        <v>263</v>
      </c>
      <c r="V196" s="1" t="s">
        <v>53</v>
      </c>
      <c r="W196" s="1" t="s">
        <v>54</v>
      </c>
      <c r="X196" s="1" t="s">
        <v>55</v>
      </c>
      <c r="Y196" s="1" t="s">
        <v>251</v>
      </c>
      <c r="Z196" s="1" t="s">
        <v>264</v>
      </c>
      <c r="AA196" s="14">
        <v>33604</v>
      </c>
      <c r="AM196" s="3">
        <v>55</v>
      </c>
      <c r="AN196" s="1">
        <v>10</v>
      </c>
      <c r="AO196" s="3">
        <v>5</v>
      </c>
    </row>
    <row r="197" spans="1:41" x14ac:dyDescent="0.25">
      <c r="A197" s="1" t="s">
        <v>309</v>
      </c>
      <c r="C197" s="1" t="s">
        <v>53</v>
      </c>
      <c r="D197" s="1">
        <v>162.03082795939901</v>
      </c>
      <c r="E197" s="1">
        <v>-77.020242495720396</v>
      </c>
      <c r="F197" s="1">
        <v>5000</v>
      </c>
      <c r="G197" s="1" t="s">
        <v>308</v>
      </c>
      <c r="H197" s="1">
        <v>545</v>
      </c>
      <c r="I197" s="1" t="s">
        <v>44</v>
      </c>
      <c r="J197" s="1" t="s">
        <v>250</v>
      </c>
      <c r="L197" s="1" t="s">
        <v>161</v>
      </c>
      <c r="M197" s="1" t="s">
        <v>134</v>
      </c>
      <c r="N197" s="1" t="s">
        <v>48</v>
      </c>
      <c r="O197" s="1" t="s">
        <v>49</v>
      </c>
      <c r="P197" s="1" t="s">
        <v>162</v>
      </c>
      <c r="S197" s="1">
        <v>47139</v>
      </c>
      <c r="T197" s="1" t="s">
        <v>52</v>
      </c>
      <c r="U197" s="1" t="s">
        <v>255</v>
      </c>
      <c r="V197" s="1" t="s">
        <v>53</v>
      </c>
      <c r="W197" s="1" t="s">
        <v>54</v>
      </c>
      <c r="X197" s="1" t="s">
        <v>55</v>
      </c>
      <c r="Y197" s="1" t="s">
        <v>251</v>
      </c>
      <c r="AA197" s="14">
        <v>33604</v>
      </c>
      <c r="AM197" s="3">
        <v>81</v>
      </c>
      <c r="AN197" s="1">
        <v>18</v>
      </c>
      <c r="AO197" s="3">
        <v>9</v>
      </c>
    </row>
    <row r="198" spans="1:41" x14ac:dyDescent="0.25">
      <c r="A198" s="1" t="s">
        <v>309</v>
      </c>
      <c r="C198" s="1" t="s">
        <v>53</v>
      </c>
      <c r="D198" s="1">
        <v>162.03082795939901</v>
      </c>
      <c r="E198" s="1">
        <v>-77.020242495720396</v>
      </c>
      <c r="F198" s="1">
        <v>5000</v>
      </c>
      <c r="G198" s="1" t="s">
        <v>308</v>
      </c>
      <c r="H198" s="1">
        <v>545</v>
      </c>
      <c r="I198" s="1" t="s">
        <v>44</v>
      </c>
      <c r="J198" s="1" t="s">
        <v>250</v>
      </c>
      <c r="L198" s="1" t="s">
        <v>161</v>
      </c>
      <c r="M198" s="1" t="s">
        <v>134</v>
      </c>
      <c r="N198" s="1" t="s">
        <v>48</v>
      </c>
      <c r="O198" s="1" t="s">
        <v>49</v>
      </c>
      <c r="P198" s="1" t="s">
        <v>162</v>
      </c>
      <c r="S198" s="1">
        <v>47140</v>
      </c>
      <c r="T198" s="1" t="s">
        <v>52</v>
      </c>
      <c r="U198" s="1" t="s">
        <v>256</v>
      </c>
      <c r="V198" s="1" t="s">
        <v>53</v>
      </c>
      <c r="W198" s="1" t="s">
        <v>54</v>
      </c>
      <c r="X198" s="1" t="s">
        <v>55</v>
      </c>
      <c r="Y198" s="1" t="s">
        <v>251</v>
      </c>
      <c r="AA198" s="14">
        <v>33604</v>
      </c>
      <c r="AM198" s="3">
        <v>72</v>
      </c>
      <c r="AN198" s="1">
        <v>12</v>
      </c>
      <c r="AO198" s="3">
        <v>6</v>
      </c>
    </row>
    <row r="199" spans="1:41" x14ac:dyDescent="0.25">
      <c r="A199" s="1" t="s">
        <v>310</v>
      </c>
      <c r="C199" s="1" t="s">
        <v>53</v>
      </c>
      <c r="D199" s="1">
        <v>162.240819677997</v>
      </c>
      <c r="E199" s="1">
        <v>-77.020241581850897</v>
      </c>
      <c r="F199" s="1">
        <v>5000</v>
      </c>
      <c r="G199" s="1" t="s">
        <v>311</v>
      </c>
      <c r="H199" s="1">
        <v>275</v>
      </c>
      <c r="I199" s="1" t="s">
        <v>44</v>
      </c>
      <c r="J199" s="1" t="s">
        <v>250</v>
      </c>
      <c r="L199" s="1" t="s">
        <v>161</v>
      </c>
      <c r="M199" s="1" t="s">
        <v>134</v>
      </c>
      <c r="N199" s="1" t="s">
        <v>48</v>
      </c>
      <c r="O199" s="1" t="s">
        <v>49</v>
      </c>
      <c r="P199" s="1" t="s">
        <v>162</v>
      </c>
      <c r="S199" s="1">
        <v>47141</v>
      </c>
      <c r="T199" s="1" t="s">
        <v>52</v>
      </c>
      <c r="V199" s="1" t="s">
        <v>53</v>
      </c>
      <c r="W199" s="1" t="s">
        <v>54</v>
      </c>
      <c r="X199" s="1" t="s">
        <v>55</v>
      </c>
      <c r="Y199" s="1" t="s">
        <v>251</v>
      </c>
      <c r="AA199" s="14">
        <v>33604</v>
      </c>
      <c r="AI199" s="1">
        <v>14.3</v>
      </c>
      <c r="AK199" s="2">
        <v>2.2000000000000002</v>
      </c>
      <c r="AM199" s="3">
        <v>31</v>
      </c>
      <c r="AN199" s="1">
        <v>4</v>
      </c>
      <c r="AO199" s="3">
        <v>2</v>
      </c>
    </row>
    <row r="200" spans="1:41" x14ac:dyDescent="0.25">
      <c r="A200" s="1" t="s">
        <v>312</v>
      </c>
      <c r="C200" s="1" t="s">
        <v>53</v>
      </c>
      <c r="D200" s="1">
        <v>162.52076686815099</v>
      </c>
      <c r="E200" s="1">
        <v>-76.510269052350296</v>
      </c>
      <c r="F200" s="1">
        <v>5000</v>
      </c>
      <c r="G200" s="1" t="s">
        <v>313</v>
      </c>
      <c r="H200" s="1">
        <v>1</v>
      </c>
      <c r="I200" s="1" t="s">
        <v>44</v>
      </c>
      <c r="J200" s="1" t="s">
        <v>250</v>
      </c>
      <c r="L200" s="1" t="s">
        <v>161</v>
      </c>
      <c r="M200" s="1" t="s">
        <v>134</v>
      </c>
      <c r="N200" s="1" t="s">
        <v>48</v>
      </c>
      <c r="O200" s="1" t="s">
        <v>49</v>
      </c>
      <c r="P200" s="1" t="s">
        <v>162</v>
      </c>
      <c r="S200" s="1">
        <v>47146</v>
      </c>
      <c r="T200" s="1" t="s">
        <v>52</v>
      </c>
      <c r="V200" s="1" t="s">
        <v>53</v>
      </c>
      <c r="W200" s="1" t="s">
        <v>54</v>
      </c>
      <c r="X200" s="1" t="s">
        <v>55</v>
      </c>
      <c r="Y200" s="1" t="s">
        <v>251</v>
      </c>
      <c r="AA200" s="14">
        <v>33604</v>
      </c>
      <c r="AM200" s="3">
        <v>56</v>
      </c>
      <c r="AN200" s="1">
        <v>16</v>
      </c>
      <c r="AO200" s="3">
        <v>8</v>
      </c>
    </row>
    <row r="201" spans="1:41" x14ac:dyDescent="0.25">
      <c r="A201" s="1" t="s">
        <v>314</v>
      </c>
      <c r="C201" s="1" t="s">
        <v>53</v>
      </c>
      <c r="D201" s="1">
        <v>162.40076514611701</v>
      </c>
      <c r="E201" s="1">
        <v>-76.430274057165306</v>
      </c>
      <c r="F201" s="1">
        <v>5000</v>
      </c>
      <c r="G201" s="1" t="s">
        <v>315</v>
      </c>
      <c r="H201" s="1">
        <v>1</v>
      </c>
      <c r="I201" s="1" t="s">
        <v>44</v>
      </c>
      <c r="J201" s="1" t="s">
        <v>250</v>
      </c>
      <c r="L201" s="1" t="s">
        <v>161</v>
      </c>
      <c r="M201" s="1" t="s">
        <v>134</v>
      </c>
      <c r="N201" s="1" t="s">
        <v>48</v>
      </c>
      <c r="O201" s="1" t="s">
        <v>49</v>
      </c>
      <c r="P201" s="1" t="s">
        <v>162</v>
      </c>
      <c r="S201" s="1">
        <v>47147</v>
      </c>
      <c r="T201" s="1" t="s">
        <v>52</v>
      </c>
      <c r="V201" s="1" t="s">
        <v>53</v>
      </c>
      <c r="W201" s="1" t="s">
        <v>54</v>
      </c>
      <c r="X201" s="1" t="s">
        <v>55</v>
      </c>
      <c r="Y201" s="1" t="s">
        <v>251</v>
      </c>
      <c r="AA201" s="14">
        <v>33604</v>
      </c>
      <c r="AM201" s="3">
        <v>44</v>
      </c>
      <c r="AN201" s="1">
        <v>12</v>
      </c>
      <c r="AO201" s="3">
        <v>6</v>
      </c>
    </row>
    <row r="202" spans="1:41" x14ac:dyDescent="0.25">
      <c r="A202" s="1" t="s">
        <v>316</v>
      </c>
      <c r="C202" s="1" t="s">
        <v>53</v>
      </c>
      <c r="D202" s="1">
        <v>162.330774100838</v>
      </c>
      <c r="E202" s="1">
        <v>-76.510269870126905</v>
      </c>
      <c r="F202" s="1">
        <v>5000</v>
      </c>
      <c r="G202" s="1" t="s">
        <v>317</v>
      </c>
      <c r="H202" s="1">
        <v>15</v>
      </c>
      <c r="I202" s="1" t="s">
        <v>44</v>
      </c>
      <c r="J202" s="1" t="s">
        <v>250</v>
      </c>
      <c r="L202" s="1" t="s">
        <v>161</v>
      </c>
      <c r="M202" s="1" t="s">
        <v>134</v>
      </c>
      <c r="N202" s="1" t="s">
        <v>48</v>
      </c>
      <c r="O202" s="1" t="s">
        <v>49</v>
      </c>
      <c r="P202" s="1" t="s">
        <v>162</v>
      </c>
      <c r="S202" s="1">
        <v>47148</v>
      </c>
      <c r="T202" s="1" t="s">
        <v>52</v>
      </c>
      <c r="V202" s="1" t="s">
        <v>53</v>
      </c>
      <c r="W202" s="1" t="s">
        <v>54</v>
      </c>
      <c r="X202" s="1" t="s">
        <v>55</v>
      </c>
      <c r="Y202" s="1" t="s">
        <v>251</v>
      </c>
      <c r="AA202" s="14">
        <v>33604</v>
      </c>
      <c r="AI202" s="1">
        <v>14.2</v>
      </c>
      <c r="AK202" s="2">
        <v>3</v>
      </c>
      <c r="AM202" s="3">
        <v>56</v>
      </c>
      <c r="AN202" s="1">
        <v>4</v>
      </c>
      <c r="AO202" s="3">
        <v>2</v>
      </c>
    </row>
    <row r="203" spans="1:41" x14ac:dyDescent="0.25">
      <c r="A203" s="1" t="s">
        <v>318</v>
      </c>
      <c r="C203" s="1" t="s">
        <v>53</v>
      </c>
      <c r="D203" s="1">
        <v>162.20078304048599</v>
      </c>
      <c r="E203" s="1">
        <v>-76.560267625930294</v>
      </c>
      <c r="F203" s="1">
        <v>5000</v>
      </c>
      <c r="G203" s="1" t="s">
        <v>319</v>
      </c>
      <c r="H203" s="1">
        <v>530</v>
      </c>
      <c r="I203" s="1" t="s">
        <v>44</v>
      </c>
      <c r="J203" s="1" t="s">
        <v>250</v>
      </c>
      <c r="L203" s="1" t="s">
        <v>161</v>
      </c>
      <c r="M203" s="1" t="s">
        <v>134</v>
      </c>
      <c r="N203" s="1" t="s">
        <v>48</v>
      </c>
      <c r="O203" s="1" t="s">
        <v>49</v>
      </c>
      <c r="P203" s="1" t="s">
        <v>162</v>
      </c>
      <c r="Q203" s="1" t="s">
        <v>320</v>
      </c>
      <c r="S203" s="1">
        <v>47149</v>
      </c>
      <c r="T203" s="1" t="s">
        <v>52</v>
      </c>
      <c r="V203" s="1" t="s">
        <v>53</v>
      </c>
      <c r="W203" s="1" t="s">
        <v>54</v>
      </c>
      <c r="X203" s="1" t="s">
        <v>55</v>
      </c>
      <c r="Y203" s="1" t="s">
        <v>251</v>
      </c>
      <c r="AA203" s="14">
        <v>33604</v>
      </c>
      <c r="AI203" s="1">
        <v>13.9</v>
      </c>
      <c r="AK203" s="2">
        <v>3.8</v>
      </c>
      <c r="AM203" s="3">
        <v>46</v>
      </c>
      <c r="AN203" s="1">
        <v>4</v>
      </c>
      <c r="AO203" s="3">
        <v>2</v>
      </c>
    </row>
    <row r="204" spans="1:41" x14ac:dyDescent="0.25">
      <c r="A204" s="1" t="s">
        <v>321</v>
      </c>
      <c r="C204" s="1" t="s">
        <v>53</v>
      </c>
      <c r="D204" s="1">
        <v>162.21078507114399</v>
      </c>
      <c r="E204" s="1">
        <v>-76.590265897945699</v>
      </c>
      <c r="F204" s="1">
        <v>5000</v>
      </c>
      <c r="G204" s="1" t="s">
        <v>322</v>
      </c>
      <c r="H204" s="1">
        <v>15</v>
      </c>
      <c r="I204" s="1" t="s">
        <v>44</v>
      </c>
      <c r="J204" s="1" t="s">
        <v>250</v>
      </c>
      <c r="L204" s="1" t="s">
        <v>161</v>
      </c>
      <c r="M204" s="1" t="s">
        <v>134</v>
      </c>
      <c r="N204" s="1" t="s">
        <v>48</v>
      </c>
      <c r="O204" s="1" t="s">
        <v>49</v>
      </c>
      <c r="P204" s="1" t="s">
        <v>162</v>
      </c>
      <c r="S204" s="1">
        <v>47121</v>
      </c>
      <c r="T204" s="1" t="s">
        <v>52</v>
      </c>
      <c r="V204" s="1" t="s">
        <v>53</v>
      </c>
      <c r="W204" s="1" t="s">
        <v>54</v>
      </c>
      <c r="X204" s="1" t="s">
        <v>55</v>
      </c>
      <c r="Y204" s="1" t="s">
        <v>251</v>
      </c>
      <c r="AA204" s="14">
        <v>33604</v>
      </c>
      <c r="AM204" s="3">
        <v>45</v>
      </c>
      <c r="AN204" s="1">
        <v>8</v>
      </c>
      <c r="AO204" s="3">
        <v>4</v>
      </c>
    </row>
    <row r="205" spans="1:41" x14ac:dyDescent="0.25">
      <c r="A205" s="1" t="s">
        <v>323</v>
      </c>
      <c r="C205" s="1" t="s">
        <v>53</v>
      </c>
      <c r="D205" s="1">
        <v>162.20078304048599</v>
      </c>
      <c r="E205" s="1">
        <v>-76.560267625930294</v>
      </c>
      <c r="F205" s="1">
        <v>5000</v>
      </c>
      <c r="G205" s="1" t="s">
        <v>319</v>
      </c>
      <c r="H205" s="1">
        <v>33</v>
      </c>
      <c r="I205" s="1" t="s">
        <v>44</v>
      </c>
      <c r="J205" s="1" t="s">
        <v>250</v>
      </c>
      <c r="L205" s="1" t="s">
        <v>161</v>
      </c>
      <c r="M205" s="1" t="s">
        <v>134</v>
      </c>
      <c r="N205" s="1" t="s">
        <v>48</v>
      </c>
      <c r="O205" s="1" t="s">
        <v>49</v>
      </c>
      <c r="P205" s="1" t="s">
        <v>162</v>
      </c>
      <c r="S205" s="1">
        <v>47151</v>
      </c>
      <c r="T205" s="1" t="s">
        <v>52</v>
      </c>
      <c r="V205" s="1" t="s">
        <v>53</v>
      </c>
      <c r="W205" s="1" t="s">
        <v>54</v>
      </c>
      <c r="X205" s="1" t="s">
        <v>55</v>
      </c>
      <c r="Y205" s="1" t="s">
        <v>251</v>
      </c>
      <c r="AA205" s="14">
        <v>33604</v>
      </c>
      <c r="AI205" s="1">
        <v>14.3</v>
      </c>
      <c r="AK205" s="2">
        <v>2</v>
      </c>
      <c r="AM205" s="3">
        <v>40</v>
      </c>
      <c r="AN205" s="1">
        <v>4</v>
      </c>
      <c r="AO205" s="3">
        <v>2</v>
      </c>
    </row>
    <row r="206" spans="1:41" x14ac:dyDescent="0.25">
      <c r="A206" s="1" t="s">
        <v>324</v>
      </c>
      <c r="C206" s="1" t="s">
        <v>53</v>
      </c>
      <c r="D206" s="1">
        <v>162.20078304048599</v>
      </c>
      <c r="E206" s="1">
        <v>-76.560267625930294</v>
      </c>
      <c r="F206" s="1">
        <v>5000</v>
      </c>
      <c r="G206" s="1" t="s">
        <v>319</v>
      </c>
      <c r="H206" s="1">
        <v>2</v>
      </c>
      <c r="I206" s="1" t="s">
        <v>44</v>
      </c>
      <c r="J206" s="1" t="s">
        <v>250</v>
      </c>
      <c r="L206" s="1" t="s">
        <v>161</v>
      </c>
      <c r="M206" s="1" t="s">
        <v>134</v>
      </c>
      <c r="N206" s="1" t="s">
        <v>48</v>
      </c>
      <c r="O206" s="1" t="s">
        <v>49</v>
      </c>
      <c r="P206" s="1" t="s">
        <v>162</v>
      </c>
      <c r="S206" s="1">
        <v>47152</v>
      </c>
      <c r="T206" s="1" t="s">
        <v>52</v>
      </c>
      <c r="V206" s="1" t="s">
        <v>53</v>
      </c>
      <c r="W206" s="1" t="s">
        <v>54</v>
      </c>
      <c r="X206" s="1" t="s">
        <v>55</v>
      </c>
      <c r="Y206" s="1" t="s">
        <v>251</v>
      </c>
      <c r="AA206" s="14">
        <v>33604</v>
      </c>
      <c r="AM206" s="3">
        <v>42</v>
      </c>
      <c r="AN206" s="1">
        <v>4</v>
      </c>
      <c r="AO206" s="3">
        <v>2</v>
      </c>
    </row>
    <row r="207" spans="1:41" x14ac:dyDescent="0.25">
      <c r="A207" s="1" t="s">
        <v>325</v>
      </c>
      <c r="C207" s="1" t="s">
        <v>53</v>
      </c>
      <c r="D207" s="1">
        <v>162.24081881977</v>
      </c>
      <c r="E207" s="1">
        <v>-77.010242145151494</v>
      </c>
      <c r="F207" s="1">
        <v>5000</v>
      </c>
      <c r="G207" s="1" t="s">
        <v>326</v>
      </c>
      <c r="H207" s="1">
        <v>175</v>
      </c>
      <c r="I207" s="1" t="s">
        <v>44</v>
      </c>
      <c r="J207" s="1" t="s">
        <v>250</v>
      </c>
      <c r="L207" s="1" t="s">
        <v>161</v>
      </c>
      <c r="M207" s="1" t="s">
        <v>134</v>
      </c>
      <c r="N207" s="1" t="s">
        <v>48</v>
      </c>
      <c r="O207" s="1" t="s">
        <v>49</v>
      </c>
      <c r="P207" s="1" t="s">
        <v>162</v>
      </c>
      <c r="S207" s="1">
        <v>47119</v>
      </c>
      <c r="T207" s="1" t="s">
        <v>52</v>
      </c>
      <c r="U207" s="1" t="s">
        <v>255</v>
      </c>
      <c r="V207" s="1" t="s">
        <v>53</v>
      </c>
      <c r="W207" s="1" t="s">
        <v>54</v>
      </c>
      <c r="X207" s="1" t="s">
        <v>55</v>
      </c>
      <c r="Y207" s="1" t="s">
        <v>251</v>
      </c>
      <c r="AA207" s="14">
        <v>33604</v>
      </c>
      <c r="AI207" s="1">
        <v>14.3</v>
      </c>
      <c r="AK207" s="2">
        <v>3</v>
      </c>
      <c r="AM207" s="3">
        <v>56</v>
      </c>
      <c r="AN207" s="1">
        <v>8</v>
      </c>
      <c r="AO207" s="3">
        <v>4</v>
      </c>
    </row>
    <row r="208" spans="1:41" x14ac:dyDescent="0.25">
      <c r="A208" s="1" t="s">
        <v>325</v>
      </c>
      <c r="C208" s="1" t="s">
        <v>53</v>
      </c>
      <c r="D208" s="1">
        <v>162.24081881977</v>
      </c>
      <c r="E208" s="1">
        <v>-77.010242145151494</v>
      </c>
      <c r="F208" s="1">
        <v>5000</v>
      </c>
      <c r="G208" s="1" t="s">
        <v>326</v>
      </c>
      <c r="H208" s="1">
        <v>175</v>
      </c>
      <c r="I208" s="1" t="s">
        <v>44</v>
      </c>
      <c r="J208" s="1" t="s">
        <v>250</v>
      </c>
      <c r="L208" s="1" t="s">
        <v>161</v>
      </c>
      <c r="M208" s="1" t="s">
        <v>134</v>
      </c>
      <c r="N208" s="1" t="s">
        <v>48</v>
      </c>
      <c r="O208" s="1" t="s">
        <v>49</v>
      </c>
      <c r="P208" s="1" t="s">
        <v>162</v>
      </c>
      <c r="S208" s="1">
        <v>47120</v>
      </c>
      <c r="T208" s="1" t="s">
        <v>52</v>
      </c>
      <c r="U208" s="1" t="s">
        <v>256</v>
      </c>
      <c r="V208" s="1" t="s">
        <v>53</v>
      </c>
      <c r="W208" s="1" t="s">
        <v>54</v>
      </c>
      <c r="X208" s="1" t="s">
        <v>55</v>
      </c>
      <c r="Y208" s="1" t="s">
        <v>251</v>
      </c>
      <c r="AA208" s="14">
        <v>33604</v>
      </c>
      <c r="AM208" s="3">
        <v>58</v>
      </c>
      <c r="AN208" s="1">
        <v>10</v>
      </c>
      <c r="AO208" s="3">
        <v>5</v>
      </c>
    </row>
    <row r="209" spans="1:41" x14ac:dyDescent="0.25">
      <c r="A209" s="1" t="s">
        <v>327</v>
      </c>
      <c r="C209" s="1" t="s">
        <v>53</v>
      </c>
      <c r="D209" s="1">
        <v>162.21078507114399</v>
      </c>
      <c r="E209" s="1">
        <v>-76.590265897945699</v>
      </c>
      <c r="F209" s="1">
        <v>5000</v>
      </c>
      <c r="G209" s="1" t="s">
        <v>322</v>
      </c>
      <c r="H209" s="1">
        <v>175</v>
      </c>
      <c r="I209" s="1" t="s">
        <v>44</v>
      </c>
      <c r="J209" s="1" t="s">
        <v>250</v>
      </c>
      <c r="L209" s="1" t="s">
        <v>161</v>
      </c>
      <c r="M209" s="1" t="s">
        <v>134</v>
      </c>
      <c r="N209" s="1" t="s">
        <v>48</v>
      </c>
      <c r="O209" s="1" t="s">
        <v>49</v>
      </c>
      <c r="P209" s="1" t="s">
        <v>162</v>
      </c>
      <c r="S209" s="1">
        <v>47122</v>
      </c>
      <c r="T209" s="1" t="s">
        <v>52</v>
      </c>
      <c r="U209" s="1" t="s">
        <v>255</v>
      </c>
      <c r="V209" s="1" t="s">
        <v>53</v>
      </c>
      <c r="W209" s="1" t="s">
        <v>54</v>
      </c>
      <c r="X209" s="1" t="s">
        <v>55</v>
      </c>
      <c r="Y209" s="1" t="s">
        <v>251</v>
      </c>
      <c r="AA209" s="14">
        <v>33604</v>
      </c>
      <c r="AM209" s="3">
        <v>53</v>
      </c>
      <c r="AN209" s="1">
        <v>8</v>
      </c>
      <c r="AO209" s="3">
        <v>4</v>
      </c>
    </row>
    <row r="210" spans="1:41" x14ac:dyDescent="0.25">
      <c r="A210" s="1" t="s">
        <v>327</v>
      </c>
      <c r="C210" s="1" t="s">
        <v>53</v>
      </c>
      <c r="D210" s="1">
        <v>162.21078507114399</v>
      </c>
      <c r="E210" s="1">
        <v>-76.590265897945699</v>
      </c>
      <c r="F210" s="1">
        <v>5000</v>
      </c>
      <c r="G210" s="1" t="s">
        <v>322</v>
      </c>
      <c r="H210" s="1">
        <v>175</v>
      </c>
      <c r="I210" s="1" t="s">
        <v>44</v>
      </c>
      <c r="J210" s="1" t="s">
        <v>250</v>
      </c>
      <c r="L210" s="1" t="s">
        <v>161</v>
      </c>
      <c r="M210" s="1" t="s">
        <v>134</v>
      </c>
      <c r="N210" s="1" t="s">
        <v>48</v>
      </c>
      <c r="O210" s="1" t="s">
        <v>49</v>
      </c>
      <c r="P210" s="1" t="s">
        <v>162</v>
      </c>
      <c r="S210" s="1">
        <v>47123</v>
      </c>
      <c r="T210" s="1" t="s">
        <v>52</v>
      </c>
      <c r="U210" s="1" t="s">
        <v>256</v>
      </c>
      <c r="V210" s="1" t="s">
        <v>53</v>
      </c>
      <c r="W210" s="1" t="s">
        <v>54</v>
      </c>
      <c r="X210" s="1" t="s">
        <v>55</v>
      </c>
      <c r="Y210" s="1" t="s">
        <v>251</v>
      </c>
      <c r="AA210" s="14">
        <v>33604</v>
      </c>
      <c r="AM210" s="3">
        <v>44</v>
      </c>
      <c r="AN210" s="1">
        <v>6</v>
      </c>
      <c r="AO210" s="3">
        <v>3</v>
      </c>
    </row>
    <row r="211" spans="1:41" x14ac:dyDescent="0.25">
      <c r="A211" s="1" t="s">
        <v>327</v>
      </c>
      <c r="C211" s="1" t="s">
        <v>53</v>
      </c>
      <c r="D211" s="1">
        <v>162.21078507114399</v>
      </c>
      <c r="E211" s="1">
        <v>-76.590265897945699</v>
      </c>
      <c r="F211" s="1">
        <v>5000</v>
      </c>
      <c r="G211" s="1" t="s">
        <v>322</v>
      </c>
      <c r="H211" s="1">
        <v>175</v>
      </c>
      <c r="I211" s="1" t="s">
        <v>44</v>
      </c>
      <c r="J211" s="1" t="s">
        <v>250</v>
      </c>
      <c r="L211" s="1" t="s">
        <v>161</v>
      </c>
      <c r="M211" s="1" t="s">
        <v>134</v>
      </c>
      <c r="N211" s="1" t="s">
        <v>48</v>
      </c>
      <c r="O211" s="1" t="s">
        <v>49</v>
      </c>
      <c r="P211" s="1" t="s">
        <v>162</v>
      </c>
      <c r="S211" s="1">
        <v>47124</v>
      </c>
      <c r="T211" s="1" t="s">
        <v>52</v>
      </c>
      <c r="U211" s="1" t="s">
        <v>263</v>
      </c>
      <c r="V211" s="1" t="s">
        <v>53</v>
      </c>
      <c r="W211" s="1" t="s">
        <v>54</v>
      </c>
      <c r="X211" s="1" t="s">
        <v>55</v>
      </c>
      <c r="Y211" s="1" t="s">
        <v>251</v>
      </c>
      <c r="Z211" s="1" t="s">
        <v>264</v>
      </c>
      <c r="AA211" s="14">
        <v>33604</v>
      </c>
      <c r="AM211" s="3">
        <v>62</v>
      </c>
      <c r="AN211" s="1">
        <v>16</v>
      </c>
      <c r="AO211" s="3">
        <v>8</v>
      </c>
    </row>
    <row r="212" spans="1:41" x14ac:dyDescent="0.25">
      <c r="A212" s="1" t="s">
        <v>328</v>
      </c>
      <c r="C212" s="1" t="s">
        <v>53</v>
      </c>
      <c r="D212" s="1">
        <v>163.25080335328099</v>
      </c>
      <c r="E212" s="1">
        <v>-77.3002214893325</v>
      </c>
      <c r="F212" s="1">
        <v>5000</v>
      </c>
      <c r="G212" s="1" t="s">
        <v>329</v>
      </c>
      <c r="H212" s="1">
        <v>514</v>
      </c>
      <c r="I212" s="1" t="s">
        <v>44</v>
      </c>
      <c r="J212" s="1" t="s">
        <v>304</v>
      </c>
      <c r="L212" s="1" t="s">
        <v>305</v>
      </c>
      <c r="M212" s="1" t="s">
        <v>169</v>
      </c>
      <c r="N212" s="1" t="s">
        <v>49</v>
      </c>
      <c r="O212" s="1" t="s">
        <v>306</v>
      </c>
      <c r="P212" s="1" t="s">
        <v>162</v>
      </c>
      <c r="S212" s="1">
        <v>47072</v>
      </c>
      <c r="T212" s="1" t="s">
        <v>52</v>
      </c>
      <c r="V212" s="1" t="s">
        <v>53</v>
      </c>
      <c r="W212" s="1" t="s">
        <v>54</v>
      </c>
      <c r="X212" s="1" t="s">
        <v>55</v>
      </c>
      <c r="Y212" s="1" t="s">
        <v>251</v>
      </c>
      <c r="AA212" s="14">
        <v>33604</v>
      </c>
      <c r="AM212" s="3">
        <v>69</v>
      </c>
      <c r="AN212" s="1">
        <v>6</v>
      </c>
      <c r="AO212" s="3">
        <v>3</v>
      </c>
    </row>
    <row r="213" spans="1:41" x14ac:dyDescent="0.25">
      <c r="A213" s="1" t="s">
        <v>330</v>
      </c>
      <c r="C213" s="1" t="s">
        <v>53</v>
      </c>
      <c r="D213" s="1">
        <v>163.33080021115799</v>
      </c>
      <c r="E213" s="1">
        <v>-77.301521081624898</v>
      </c>
      <c r="F213" s="1">
        <v>5000</v>
      </c>
      <c r="G213" s="1" t="s">
        <v>331</v>
      </c>
      <c r="H213" s="1">
        <v>654</v>
      </c>
      <c r="I213" s="1" t="s">
        <v>44</v>
      </c>
      <c r="J213" s="1" t="s">
        <v>304</v>
      </c>
      <c r="L213" s="1" t="s">
        <v>305</v>
      </c>
      <c r="M213" s="1" t="s">
        <v>169</v>
      </c>
      <c r="N213" s="1" t="s">
        <v>49</v>
      </c>
      <c r="O213" s="1" t="s">
        <v>306</v>
      </c>
      <c r="P213" s="1" t="s">
        <v>162</v>
      </c>
      <c r="S213" s="1">
        <v>47073</v>
      </c>
      <c r="T213" s="1" t="s">
        <v>52</v>
      </c>
      <c r="V213" s="1" t="s">
        <v>53</v>
      </c>
      <c r="W213" s="1" t="s">
        <v>54</v>
      </c>
      <c r="X213" s="1" t="s">
        <v>55</v>
      </c>
      <c r="Y213" s="1" t="s">
        <v>251</v>
      </c>
      <c r="AA213" s="14">
        <v>33604</v>
      </c>
      <c r="AM213" s="3">
        <v>91</v>
      </c>
      <c r="AN213" s="1">
        <v>8</v>
      </c>
      <c r="AO213" s="3">
        <v>4</v>
      </c>
    </row>
    <row r="214" spans="1:41" x14ac:dyDescent="0.25">
      <c r="A214" s="1" t="s">
        <v>332</v>
      </c>
      <c r="C214" s="1" t="s">
        <v>53</v>
      </c>
      <c r="D214" s="1">
        <v>163.084114497727</v>
      </c>
      <c r="E214" s="1">
        <v>-77.350219366322307</v>
      </c>
      <c r="F214" s="1">
        <v>5000</v>
      </c>
      <c r="G214" s="1" t="s">
        <v>333</v>
      </c>
      <c r="H214" s="1">
        <v>884</v>
      </c>
      <c r="I214" s="1" t="s">
        <v>44</v>
      </c>
      <c r="J214" s="1" t="s">
        <v>250</v>
      </c>
      <c r="L214" s="1" t="s">
        <v>161</v>
      </c>
      <c r="M214" s="1" t="s">
        <v>134</v>
      </c>
      <c r="N214" s="1" t="s">
        <v>48</v>
      </c>
      <c r="O214" s="1" t="s">
        <v>49</v>
      </c>
      <c r="P214" s="1" t="s">
        <v>162</v>
      </c>
      <c r="S214" s="1">
        <v>47054</v>
      </c>
      <c r="T214" s="1" t="s">
        <v>52</v>
      </c>
      <c r="V214" s="1" t="s">
        <v>53</v>
      </c>
      <c r="W214" s="1" t="s">
        <v>54</v>
      </c>
      <c r="X214" s="1" t="s">
        <v>55</v>
      </c>
      <c r="Y214" s="1" t="s">
        <v>251</v>
      </c>
      <c r="AA214" s="14">
        <v>33604</v>
      </c>
      <c r="AI214" s="1">
        <v>13.8</v>
      </c>
      <c r="AK214" s="2">
        <v>4</v>
      </c>
      <c r="AM214" s="3">
        <v>98</v>
      </c>
      <c r="AN214" s="1">
        <v>16</v>
      </c>
      <c r="AO214" s="3">
        <v>8</v>
      </c>
    </row>
    <row r="215" spans="1:41" x14ac:dyDescent="0.25">
      <c r="A215" s="1" t="s">
        <v>334</v>
      </c>
      <c r="C215" s="1" t="s">
        <v>53</v>
      </c>
      <c r="D215" s="1">
        <v>162.93412149202399</v>
      </c>
      <c r="E215" s="1">
        <v>-77.360219434996097</v>
      </c>
      <c r="F215" s="1">
        <v>5000</v>
      </c>
      <c r="G215" s="1" t="s">
        <v>333</v>
      </c>
      <c r="H215" s="1">
        <v>846</v>
      </c>
      <c r="I215" s="1" t="s">
        <v>44</v>
      </c>
      <c r="J215" s="1" t="s">
        <v>250</v>
      </c>
      <c r="L215" s="1" t="s">
        <v>161</v>
      </c>
      <c r="M215" s="1" t="s">
        <v>134</v>
      </c>
      <c r="N215" s="1" t="s">
        <v>48</v>
      </c>
      <c r="O215" s="1" t="s">
        <v>49</v>
      </c>
      <c r="P215" s="1" t="s">
        <v>162</v>
      </c>
      <c r="S215" s="1">
        <v>47055</v>
      </c>
      <c r="T215" s="1" t="s">
        <v>52</v>
      </c>
      <c r="V215" s="1" t="s">
        <v>53</v>
      </c>
      <c r="W215" s="1" t="s">
        <v>54</v>
      </c>
      <c r="X215" s="1" t="s">
        <v>55</v>
      </c>
      <c r="Y215" s="1" t="s">
        <v>251</v>
      </c>
      <c r="AA215" s="14">
        <v>33604</v>
      </c>
      <c r="AI215" s="1">
        <v>13.4</v>
      </c>
      <c r="AK215" s="2">
        <v>4.5999999999999996</v>
      </c>
      <c r="AM215" s="3">
        <v>85</v>
      </c>
      <c r="AN215" s="1">
        <v>14</v>
      </c>
      <c r="AO215" s="3">
        <v>7</v>
      </c>
    </row>
    <row r="216" spans="1:41" x14ac:dyDescent="0.25">
      <c r="A216" s="1" t="s">
        <v>335</v>
      </c>
      <c r="C216" s="1" t="s">
        <v>53</v>
      </c>
      <c r="D216" s="1">
        <v>162.83412599992801</v>
      </c>
      <c r="E216" s="1">
        <v>-77.365119582428903</v>
      </c>
      <c r="F216" s="1">
        <v>5000</v>
      </c>
      <c r="G216" s="1" t="s">
        <v>333</v>
      </c>
      <c r="H216" s="1">
        <v>753</v>
      </c>
      <c r="I216" s="1" t="s">
        <v>44</v>
      </c>
      <c r="J216" s="1" t="s">
        <v>250</v>
      </c>
      <c r="L216" s="1" t="s">
        <v>161</v>
      </c>
      <c r="M216" s="1" t="s">
        <v>134</v>
      </c>
      <c r="N216" s="1" t="s">
        <v>48</v>
      </c>
      <c r="O216" s="1" t="s">
        <v>49</v>
      </c>
      <c r="P216" s="1" t="s">
        <v>162</v>
      </c>
      <c r="S216" s="1">
        <v>47056</v>
      </c>
      <c r="T216" s="1" t="s">
        <v>52</v>
      </c>
      <c r="V216" s="1" t="s">
        <v>53</v>
      </c>
      <c r="W216" s="1" t="s">
        <v>54</v>
      </c>
      <c r="X216" s="1" t="s">
        <v>55</v>
      </c>
      <c r="Y216" s="1" t="s">
        <v>251</v>
      </c>
      <c r="AA216" s="14">
        <v>33604</v>
      </c>
      <c r="AM216" s="3">
        <v>86</v>
      </c>
      <c r="AN216" s="1">
        <v>18</v>
      </c>
      <c r="AO216" s="3">
        <v>9</v>
      </c>
    </row>
    <row r="217" spans="1:41" x14ac:dyDescent="0.25">
      <c r="A217" s="1" t="s">
        <v>336</v>
      </c>
      <c r="C217" s="1" t="s">
        <v>53</v>
      </c>
      <c r="D217" s="1">
        <v>162.80082701855</v>
      </c>
      <c r="E217" s="1">
        <v>-77.361319938579399</v>
      </c>
      <c r="F217" s="1">
        <v>5000</v>
      </c>
      <c r="G217" s="1" t="s">
        <v>333</v>
      </c>
      <c r="H217" s="1">
        <v>561</v>
      </c>
      <c r="I217" s="1" t="s">
        <v>44</v>
      </c>
      <c r="J217" s="1" t="s">
        <v>250</v>
      </c>
      <c r="L217" s="1" t="s">
        <v>161</v>
      </c>
      <c r="M217" s="1" t="s">
        <v>134</v>
      </c>
      <c r="N217" s="1" t="s">
        <v>48</v>
      </c>
      <c r="O217" s="1" t="s">
        <v>49</v>
      </c>
      <c r="P217" s="1" t="s">
        <v>162</v>
      </c>
      <c r="S217" s="1">
        <v>47057</v>
      </c>
      <c r="T217" s="1" t="s">
        <v>52</v>
      </c>
      <c r="V217" s="1" t="s">
        <v>53</v>
      </c>
      <c r="W217" s="1" t="s">
        <v>54</v>
      </c>
      <c r="X217" s="1" t="s">
        <v>55</v>
      </c>
      <c r="Y217" s="1" t="s">
        <v>251</v>
      </c>
      <c r="AA217" s="14">
        <v>33604</v>
      </c>
      <c r="AM217" s="3">
        <v>63</v>
      </c>
      <c r="AN217" s="1">
        <v>14</v>
      </c>
      <c r="AO217" s="3">
        <v>7</v>
      </c>
    </row>
    <row r="218" spans="1:41" x14ac:dyDescent="0.25">
      <c r="A218" s="1" t="s">
        <v>337</v>
      </c>
      <c r="C218" s="1" t="s">
        <v>53</v>
      </c>
      <c r="D218" s="1">
        <v>162.76082866436701</v>
      </c>
      <c r="E218" s="1">
        <v>-77.3615200975634</v>
      </c>
      <c r="F218" s="1">
        <v>5000</v>
      </c>
      <c r="G218" s="1" t="s">
        <v>333</v>
      </c>
      <c r="H218" s="1">
        <v>1063</v>
      </c>
      <c r="I218" s="1" t="s">
        <v>44</v>
      </c>
      <c r="J218" s="1" t="s">
        <v>250</v>
      </c>
      <c r="L218" s="1" t="s">
        <v>161</v>
      </c>
      <c r="M218" s="1" t="s">
        <v>134</v>
      </c>
      <c r="N218" s="1" t="s">
        <v>48</v>
      </c>
      <c r="O218" s="1" t="s">
        <v>49</v>
      </c>
      <c r="P218" s="1" t="s">
        <v>162</v>
      </c>
      <c r="S218" s="1">
        <v>47058</v>
      </c>
      <c r="T218" s="1" t="s">
        <v>52</v>
      </c>
      <c r="V218" s="1" t="s">
        <v>53</v>
      </c>
      <c r="W218" s="1" t="s">
        <v>54</v>
      </c>
      <c r="X218" s="1" t="s">
        <v>55</v>
      </c>
      <c r="Y218" s="1" t="s">
        <v>251</v>
      </c>
      <c r="AA218" s="14">
        <v>33604</v>
      </c>
      <c r="AM218" s="3">
        <v>84</v>
      </c>
      <c r="AN218" s="1">
        <v>10</v>
      </c>
      <c r="AO218" s="3">
        <v>5</v>
      </c>
    </row>
    <row r="219" spans="1:41" x14ac:dyDescent="0.25">
      <c r="A219" s="1" t="s">
        <v>338</v>
      </c>
      <c r="C219" s="1" t="s">
        <v>53</v>
      </c>
      <c r="D219" s="1">
        <v>162.55083937495499</v>
      </c>
      <c r="E219" s="1">
        <v>-77.385719628916704</v>
      </c>
      <c r="F219" s="1">
        <v>5000</v>
      </c>
      <c r="G219" s="1" t="s">
        <v>339</v>
      </c>
      <c r="H219" s="1">
        <v>140</v>
      </c>
      <c r="I219" s="1" t="s">
        <v>44</v>
      </c>
      <c r="J219" s="1" t="s">
        <v>250</v>
      </c>
      <c r="L219" s="1" t="s">
        <v>161</v>
      </c>
      <c r="M219" s="1" t="s">
        <v>134</v>
      </c>
      <c r="N219" s="1" t="s">
        <v>48</v>
      </c>
      <c r="O219" s="1" t="s">
        <v>49</v>
      </c>
      <c r="P219" s="1" t="s">
        <v>162</v>
      </c>
      <c r="S219" s="1">
        <v>47059</v>
      </c>
      <c r="T219" s="1" t="s">
        <v>52</v>
      </c>
      <c r="V219" s="1" t="s">
        <v>53</v>
      </c>
      <c r="W219" s="1" t="s">
        <v>54</v>
      </c>
      <c r="X219" s="1" t="s">
        <v>55</v>
      </c>
      <c r="Y219" s="1" t="s">
        <v>251</v>
      </c>
      <c r="AA219" s="14">
        <v>33604</v>
      </c>
      <c r="AI219" s="1">
        <v>13.8</v>
      </c>
      <c r="AK219" s="2">
        <v>3.8</v>
      </c>
      <c r="AM219" s="3">
        <v>98</v>
      </c>
      <c r="AN219" s="1">
        <v>6</v>
      </c>
      <c r="AO219" s="3">
        <v>3</v>
      </c>
    </row>
    <row r="220" spans="1:41" x14ac:dyDescent="0.25">
      <c r="A220" s="1" t="s">
        <v>340</v>
      </c>
      <c r="C220" s="1" t="s">
        <v>53</v>
      </c>
      <c r="D220" s="1">
        <v>162.550839123201</v>
      </c>
      <c r="E220" s="1">
        <v>-77.3829197870445</v>
      </c>
      <c r="F220" s="1">
        <v>5000</v>
      </c>
      <c r="G220" s="1" t="s">
        <v>339</v>
      </c>
      <c r="H220" s="1">
        <v>1305</v>
      </c>
      <c r="I220" s="1" t="s">
        <v>44</v>
      </c>
      <c r="J220" s="1" t="s">
        <v>250</v>
      </c>
      <c r="L220" s="1" t="s">
        <v>161</v>
      </c>
      <c r="M220" s="1" t="s">
        <v>134</v>
      </c>
      <c r="N220" s="1" t="s">
        <v>48</v>
      </c>
      <c r="O220" s="1" t="s">
        <v>49</v>
      </c>
      <c r="P220" s="1" t="s">
        <v>162</v>
      </c>
      <c r="S220" s="1">
        <v>47060</v>
      </c>
      <c r="T220" s="1" t="s">
        <v>52</v>
      </c>
      <c r="V220" s="1" t="s">
        <v>53</v>
      </c>
      <c r="W220" s="1" t="s">
        <v>54</v>
      </c>
      <c r="X220" s="1" t="s">
        <v>55</v>
      </c>
      <c r="Y220" s="1" t="s">
        <v>251</v>
      </c>
      <c r="AA220" s="14">
        <v>33604</v>
      </c>
      <c r="AM220" s="3">
        <v>93</v>
      </c>
      <c r="AN220" s="1">
        <v>6</v>
      </c>
      <c r="AO220" s="3">
        <v>3</v>
      </c>
    </row>
    <row r="221" spans="1:41" x14ac:dyDescent="0.25">
      <c r="A221" s="1" t="s">
        <v>341</v>
      </c>
      <c r="C221" s="1" t="s">
        <v>53</v>
      </c>
      <c r="D221" s="1">
        <v>162.56083679650101</v>
      </c>
      <c r="E221" s="1">
        <v>-77.361520952584797</v>
      </c>
      <c r="F221" s="1">
        <v>5000</v>
      </c>
      <c r="G221" s="1" t="s">
        <v>339</v>
      </c>
      <c r="H221" s="1">
        <v>1204</v>
      </c>
      <c r="I221" s="1" t="s">
        <v>44</v>
      </c>
      <c r="J221" s="1" t="s">
        <v>250</v>
      </c>
      <c r="L221" s="1" t="s">
        <v>161</v>
      </c>
      <c r="M221" s="1" t="s">
        <v>134</v>
      </c>
      <c r="N221" s="1" t="s">
        <v>48</v>
      </c>
      <c r="O221" s="1" t="s">
        <v>49</v>
      </c>
      <c r="P221" s="1" t="s">
        <v>162</v>
      </c>
      <c r="S221" s="1">
        <v>47061</v>
      </c>
      <c r="T221" s="1" t="s">
        <v>52</v>
      </c>
      <c r="V221" s="1" t="s">
        <v>53</v>
      </c>
      <c r="W221" s="1" t="s">
        <v>54</v>
      </c>
      <c r="X221" s="1" t="s">
        <v>55</v>
      </c>
      <c r="Y221" s="1" t="s">
        <v>251</v>
      </c>
      <c r="AA221" s="14">
        <v>33604</v>
      </c>
      <c r="AI221" s="1">
        <v>13.6</v>
      </c>
      <c r="AK221" s="2">
        <v>3.4</v>
      </c>
      <c r="AM221" s="3">
        <v>82</v>
      </c>
      <c r="AN221" s="1">
        <v>6</v>
      </c>
      <c r="AO221" s="3">
        <v>3</v>
      </c>
    </row>
    <row r="222" spans="1:41" x14ac:dyDescent="0.25">
      <c r="A222" s="1" t="s">
        <v>342</v>
      </c>
      <c r="C222" s="1" t="s">
        <v>53</v>
      </c>
      <c r="D222" s="1">
        <v>162.58083596600201</v>
      </c>
      <c r="E222" s="1">
        <v>-77.361320878103399</v>
      </c>
      <c r="F222" s="1">
        <v>5000</v>
      </c>
      <c r="G222" s="1" t="s">
        <v>339</v>
      </c>
      <c r="H222" s="1">
        <v>1113</v>
      </c>
      <c r="I222" s="1" t="s">
        <v>44</v>
      </c>
      <c r="J222" s="1" t="s">
        <v>250</v>
      </c>
      <c r="L222" s="1" t="s">
        <v>161</v>
      </c>
      <c r="M222" s="1" t="s">
        <v>134</v>
      </c>
      <c r="N222" s="1" t="s">
        <v>48</v>
      </c>
      <c r="O222" s="1" t="s">
        <v>49</v>
      </c>
      <c r="P222" s="1" t="s">
        <v>162</v>
      </c>
      <c r="S222" s="1">
        <v>47062</v>
      </c>
      <c r="T222" s="1" t="s">
        <v>52</v>
      </c>
      <c r="V222" s="1" t="s">
        <v>53</v>
      </c>
      <c r="W222" s="1" t="s">
        <v>54</v>
      </c>
      <c r="X222" s="1" t="s">
        <v>55</v>
      </c>
      <c r="Y222" s="1" t="s">
        <v>251</v>
      </c>
      <c r="AA222" s="14">
        <v>33604</v>
      </c>
      <c r="AM222" s="3">
        <v>79</v>
      </c>
      <c r="AN222" s="1">
        <v>6</v>
      </c>
      <c r="AO222" s="3">
        <v>3</v>
      </c>
    </row>
    <row r="223" spans="1:41" x14ac:dyDescent="0.25">
      <c r="A223" s="1" t="s">
        <v>342</v>
      </c>
      <c r="C223" s="1" t="s">
        <v>53</v>
      </c>
      <c r="D223" s="1">
        <v>162.58083596600201</v>
      </c>
      <c r="E223" s="1">
        <v>-77.361320878103399</v>
      </c>
      <c r="F223" s="1">
        <v>5000</v>
      </c>
      <c r="G223" s="1" t="s">
        <v>339</v>
      </c>
      <c r="H223" s="1">
        <v>1113</v>
      </c>
      <c r="I223" s="1" t="s">
        <v>44</v>
      </c>
      <c r="J223" s="1" t="s">
        <v>250</v>
      </c>
      <c r="L223" s="1" t="s">
        <v>161</v>
      </c>
      <c r="M223" s="1" t="s">
        <v>134</v>
      </c>
      <c r="N223" s="1" t="s">
        <v>48</v>
      </c>
      <c r="O223" s="1" t="s">
        <v>49</v>
      </c>
      <c r="P223" s="1" t="s">
        <v>162</v>
      </c>
      <c r="S223" s="1">
        <v>47063</v>
      </c>
      <c r="T223" s="1" t="s">
        <v>52</v>
      </c>
      <c r="U223" s="1" t="s">
        <v>263</v>
      </c>
      <c r="V223" s="1" t="s">
        <v>53</v>
      </c>
      <c r="W223" s="1" t="s">
        <v>54</v>
      </c>
      <c r="X223" s="1" t="s">
        <v>55</v>
      </c>
      <c r="Y223" s="1" t="s">
        <v>251</v>
      </c>
      <c r="Z223" s="1" t="s">
        <v>264</v>
      </c>
      <c r="AA223" s="14">
        <v>33604</v>
      </c>
      <c r="AM223" s="3">
        <v>83</v>
      </c>
      <c r="AN223" s="1">
        <v>12</v>
      </c>
      <c r="AO223" s="3">
        <v>6</v>
      </c>
    </row>
    <row r="224" spans="1:41" x14ac:dyDescent="0.25">
      <c r="A224" s="1" t="s">
        <v>343</v>
      </c>
      <c r="C224" s="1" t="s">
        <v>53</v>
      </c>
      <c r="D224" s="1">
        <v>162.51084231001701</v>
      </c>
      <c r="E224" s="1">
        <v>-77.400218981796002</v>
      </c>
      <c r="F224" s="1">
        <v>5000</v>
      </c>
      <c r="G224" s="1" t="s">
        <v>344</v>
      </c>
      <c r="H224" s="1">
        <v>11518</v>
      </c>
      <c r="I224" s="1" t="s">
        <v>44</v>
      </c>
      <c r="J224" s="1" t="s">
        <v>345</v>
      </c>
      <c r="L224" s="1" t="s">
        <v>161</v>
      </c>
      <c r="M224" s="1" t="s">
        <v>346</v>
      </c>
      <c r="N224" s="1" t="s">
        <v>48</v>
      </c>
      <c r="O224" s="1" t="s">
        <v>49</v>
      </c>
      <c r="P224" s="1" t="s">
        <v>162</v>
      </c>
      <c r="S224" s="1">
        <v>47064</v>
      </c>
      <c r="T224" s="1" t="s">
        <v>52</v>
      </c>
      <c r="V224" s="1" t="s">
        <v>53</v>
      </c>
      <c r="W224" s="1" t="s">
        <v>54</v>
      </c>
      <c r="X224" s="1" t="s">
        <v>55</v>
      </c>
      <c r="Y224" s="1" t="s">
        <v>251</v>
      </c>
      <c r="AA224" s="14">
        <v>33604</v>
      </c>
      <c r="AI224" s="1">
        <v>13.3</v>
      </c>
      <c r="AK224" s="2">
        <v>3.6</v>
      </c>
      <c r="AM224" s="3">
        <v>84</v>
      </c>
      <c r="AN224" s="1">
        <v>8</v>
      </c>
      <c r="AO224" s="3">
        <v>4</v>
      </c>
    </row>
    <row r="225" spans="1:41" x14ac:dyDescent="0.25">
      <c r="A225" s="1" t="s">
        <v>343</v>
      </c>
      <c r="C225" s="1" t="s">
        <v>53</v>
      </c>
      <c r="D225" s="1">
        <v>162.51084231001701</v>
      </c>
      <c r="E225" s="1">
        <v>-77.400218981796002</v>
      </c>
      <c r="F225" s="1">
        <v>5000</v>
      </c>
      <c r="G225" s="1" t="s">
        <v>344</v>
      </c>
      <c r="H225" s="1">
        <v>11518</v>
      </c>
      <c r="I225" s="1" t="s">
        <v>44</v>
      </c>
      <c r="J225" s="1" t="s">
        <v>345</v>
      </c>
      <c r="L225" s="1" t="s">
        <v>161</v>
      </c>
      <c r="M225" s="1" t="s">
        <v>346</v>
      </c>
      <c r="N225" s="1" t="s">
        <v>48</v>
      </c>
      <c r="O225" s="1" t="s">
        <v>49</v>
      </c>
      <c r="P225" s="1" t="s">
        <v>162</v>
      </c>
      <c r="S225" s="1">
        <v>47065</v>
      </c>
      <c r="T225" s="1" t="s">
        <v>52</v>
      </c>
      <c r="U225" s="1" t="s">
        <v>263</v>
      </c>
      <c r="V225" s="1" t="s">
        <v>53</v>
      </c>
      <c r="W225" s="1" t="s">
        <v>54</v>
      </c>
      <c r="X225" s="1" t="s">
        <v>55</v>
      </c>
      <c r="Y225" s="1" t="s">
        <v>251</v>
      </c>
      <c r="Z225" s="1" t="s">
        <v>264</v>
      </c>
      <c r="AA225" s="14">
        <v>33604</v>
      </c>
      <c r="AM225" s="3">
        <v>82</v>
      </c>
      <c r="AN225" s="1">
        <v>10</v>
      </c>
      <c r="AO225" s="3">
        <v>5</v>
      </c>
    </row>
    <row r="226" spans="1:41" x14ac:dyDescent="0.25">
      <c r="A226" s="1" t="s">
        <v>347</v>
      </c>
      <c r="C226" s="1" t="s">
        <v>53</v>
      </c>
      <c r="D226" s="1">
        <v>162.320835685482</v>
      </c>
      <c r="E226" s="1">
        <v>-77.240228832874607</v>
      </c>
      <c r="F226" s="1">
        <v>5000</v>
      </c>
      <c r="G226" s="1" t="s">
        <v>348</v>
      </c>
      <c r="H226" s="1">
        <v>1406</v>
      </c>
      <c r="I226" s="1" t="s">
        <v>44</v>
      </c>
      <c r="J226" s="1" t="s">
        <v>304</v>
      </c>
      <c r="L226" s="1" t="s">
        <v>305</v>
      </c>
      <c r="M226" s="1" t="s">
        <v>169</v>
      </c>
      <c r="N226" s="1" t="s">
        <v>49</v>
      </c>
      <c r="O226" s="1" t="s">
        <v>306</v>
      </c>
      <c r="P226" s="1" t="s">
        <v>162</v>
      </c>
      <c r="S226" s="1">
        <v>47066</v>
      </c>
      <c r="T226" s="1" t="s">
        <v>52</v>
      </c>
      <c r="V226" s="1" t="s">
        <v>53</v>
      </c>
      <c r="W226" s="1" t="s">
        <v>54</v>
      </c>
      <c r="X226" s="1" t="s">
        <v>55</v>
      </c>
      <c r="Y226" s="1" t="s">
        <v>251</v>
      </c>
      <c r="AA226" s="14">
        <v>33604</v>
      </c>
      <c r="AI226" s="1">
        <v>13.3</v>
      </c>
      <c r="AK226" s="2">
        <v>3.6</v>
      </c>
      <c r="AM226" s="3">
        <v>95</v>
      </c>
      <c r="AN226" s="1">
        <v>8</v>
      </c>
      <c r="AO226" s="3">
        <v>4</v>
      </c>
    </row>
    <row r="227" spans="1:41" x14ac:dyDescent="0.25">
      <c r="A227" s="1" t="s">
        <v>349</v>
      </c>
      <c r="C227" s="1" t="s">
        <v>53</v>
      </c>
      <c r="D227" s="1">
        <v>162.48082574079601</v>
      </c>
      <c r="E227" s="1">
        <v>-77.200230399165903</v>
      </c>
      <c r="F227" s="1">
        <v>5000</v>
      </c>
      <c r="G227" s="1" t="s">
        <v>350</v>
      </c>
      <c r="H227" s="1">
        <v>1011</v>
      </c>
      <c r="I227" s="1" t="s">
        <v>44</v>
      </c>
      <c r="J227" s="1" t="s">
        <v>250</v>
      </c>
      <c r="L227" s="1" t="s">
        <v>161</v>
      </c>
      <c r="M227" s="1" t="s">
        <v>134</v>
      </c>
      <c r="N227" s="1" t="s">
        <v>48</v>
      </c>
      <c r="O227" s="1" t="s">
        <v>49</v>
      </c>
      <c r="P227" s="1" t="s">
        <v>162</v>
      </c>
      <c r="S227" s="1">
        <v>47074</v>
      </c>
      <c r="T227" s="1" t="s">
        <v>52</v>
      </c>
      <c r="V227" s="1" t="s">
        <v>53</v>
      </c>
      <c r="W227" s="1" t="s">
        <v>54</v>
      </c>
      <c r="X227" s="1" t="s">
        <v>55</v>
      </c>
      <c r="Y227" s="1" t="s">
        <v>251</v>
      </c>
      <c r="AA227" s="14">
        <v>33604</v>
      </c>
      <c r="AI227" s="1">
        <v>13</v>
      </c>
      <c r="AK227" s="2">
        <v>3.8</v>
      </c>
      <c r="AM227" s="3">
        <v>84</v>
      </c>
      <c r="AN227" s="1">
        <v>6</v>
      </c>
      <c r="AO227" s="3">
        <v>3</v>
      </c>
    </row>
    <row r="228" spans="1:41" x14ac:dyDescent="0.25">
      <c r="A228" s="1" t="s">
        <v>351</v>
      </c>
      <c r="C228" s="1" t="s">
        <v>53</v>
      </c>
      <c r="D228" s="1">
        <v>162.48082574079601</v>
      </c>
      <c r="E228" s="1">
        <v>-77.200230399165903</v>
      </c>
      <c r="F228" s="1">
        <v>5000</v>
      </c>
      <c r="G228" s="1" t="s">
        <v>350</v>
      </c>
      <c r="H228" s="1">
        <v>1113</v>
      </c>
      <c r="I228" s="1" t="s">
        <v>44</v>
      </c>
      <c r="J228" s="1" t="s">
        <v>304</v>
      </c>
      <c r="L228" s="1" t="s">
        <v>305</v>
      </c>
      <c r="M228" s="1" t="s">
        <v>169</v>
      </c>
      <c r="N228" s="1" t="s">
        <v>49</v>
      </c>
      <c r="O228" s="1" t="s">
        <v>306</v>
      </c>
      <c r="P228" s="1" t="s">
        <v>162</v>
      </c>
      <c r="S228" s="1">
        <v>47075</v>
      </c>
      <c r="T228" s="1" t="s">
        <v>52</v>
      </c>
      <c r="V228" s="1" t="s">
        <v>53</v>
      </c>
      <c r="W228" s="1" t="s">
        <v>54</v>
      </c>
      <c r="X228" s="1" t="s">
        <v>55</v>
      </c>
      <c r="Y228" s="1" t="s">
        <v>251</v>
      </c>
      <c r="AA228" s="14">
        <v>33604</v>
      </c>
      <c r="AM228" s="3">
        <v>73</v>
      </c>
      <c r="AN228" s="1">
        <v>10</v>
      </c>
      <c r="AO228" s="3">
        <v>5</v>
      </c>
    </row>
    <row r="229" spans="1:41" x14ac:dyDescent="0.25">
      <c r="A229" s="1" t="s">
        <v>352</v>
      </c>
      <c r="C229" s="1" t="s">
        <v>53</v>
      </c>
      <c r="D229" s="1">
        <v>162.48082574079601</v>
      </c>
      <c r="E229" s="1">
        <v>-77.200230399165903</v>
      </c>
      <c r="F229" s="1">
        <v>5000</v>
      </c>
      <c r="G229" s="1" t="s">
        <v>350</v>
      </c>
      <c r="H229" s="1">
        <v>769</v>
      </c>
      <c r="I229" s="1" t="s">
        <v>44</v>
      </c>
      <c r="J229" s="1" t="s">
        <v>250</v>
      </c>
      <c r="L229" s="1" t="s">
        <v>161</v>
      </c>
      <c r="M229" s="1" t="s">
        <v>134</v>
      </c>
      <c r="N229" s="1" t="s">
        <v>48</v>
      </c>
      <c r="O229" s="1" t="s">
        <v>49</v>
      </c>
      <c r="P229" s="1" t="s">
        <v>162</v>
      </c>
      <c r="S229" s="1">
        <v>47076</v>
      </c>
      <c r="T229" s="1" t="s">
        <v>52</v>
      </c>
      <c r="V229" s="1" t="s">
        <v>53</v>
      </c>
      <c r="W229" s="1" t="s">
        <v>54</v>
      </c>
      <c r="X229" s="1" t="s">
        <v>55</v>
      </c>
      <c r="Y229" s="1" t="s">
        <v>251</v>
      </c>
      <c r="AA229" s="14">
        <v>33604</v>
      </c>
      <c r="AM229" s="3">
        <v>83</v>
      </c>
      <c r="AN229" s="1">
        <v>18</v>
      </c>
      <c r="AO229" s="3">
        <v>9</v>
      </c>
    </row>
    <row r="230" spans="1:41" x14ac:dyDescent="0.25">
      <c r="A230" s="1" t="s">
        <v>353</v>
      </c>
      <c r="C230" s="1" t="s">
        <v>53</v>
      </c>
      <c r="D230" s="1">
        <v>162.24083447185799</v>
      </c>
      <c r="E230" s="1">
        <v>-77.190231999783407</v>
      </c>
      <c r="F230" s="1">
        <v>5000</v>
      </c>
      <c r="G230" s="1" t="s">
        <v>354</v>
      </c>
      <c r="H230" s="1">
        <v>1300</v>
      </c>
      <c r="I230" s="1" t="s">
        <v>44</v>
      </c>
      <c r="J230" s="1" t="s">
        <v>250</v>
      </c>
      <c r="L230" s="1" t="s">
        <v>161</v>
      </c>
      <c r="M230" s="1" t="s">
        <v>134</v>
      </c>
      <c r="N230" s="1" t="s">
        <v>48</v>
      </c>
      <c r="O230" s="1" t="s">
        <v>49</v>
      </c>
      <c r="P230" s="1" t="s">
        <v>162</v>
      </c>
      <c r="S230" s="1">
        <v>47069</v>
      </c>
      <c r="T230" s="1" t="s">
        <v>52</v>
      </c>
      <c r="V230" s="1" t="s">
        <v>53</v>
      </c>
      <c r="W230" s="1" t="s">
        <v>54</v>
      </c>
      <c r="X230" s="1" t="s">
        <v>55</v>
      </c>
      <c r="Y230" s="1" t="s">
        <v>251</v>
      </c>
      <c r="AA230" s="14">
        <v>33604</v>
      </c>
      <c r="AI230" s="1">
        <v>13.6</v>
      </c>
      <c r="AK230" s="2">
        <v>3.6</v>
      </c>
      <c r="AM230" s="3">
        <v>95</v>
      </c>
      <c r="AN230" s="1">
        <v>10</v>
      </c>
      <c r="AO230" s="3">
        <v>5</v>
      </c>
    </row>
    <row r="231" spans="1:41" x14ac:dyDescent="0.25">
      <c r="A231" s="1" t="s">
        <v>355</v>
      </c>
      <c r="C231" s="1" t="s">
        <v>53</v>
      </c>
      <c r="D231" s="1">
        <v>162.24083447185799</v>
      </c>
      <c r="E231" s="1">
        <v>-77.190231999783407</v>
      </c>
      <c r="F231" s="1">
        <v>5000</v>
      </c>
      <c r="G231" s="1" t="s">
        <v>354</v>
      </c>
      <c r="H231" s="1">
        <v>1200</v>
      </c>
      <c r="I231" s="1" t="s">
        <v>44</v>
      </c>
      <c r="J231" s="1" t="s">
        <v>250</v>
      </c>
      <c r="L231" s="1" t="s">
        <v>161</v>
      </c>
      <c r="M231" s="1" t="s">
        <v>134</v>
      </c>
      <c r="N231" s="1" t="s">
        <v>48</v>
      </c>
      <c r="O231" s="1" t="s">
        <v>49</v>
      </c>
      <c r="P231" s="1" t="s">
        <v>162</v>
      </c>
      <c r="S231" s="1">
        <v>47070</v>
      </c>
      <c r="T231" s="1" t="s">
        <v>52</v>
      </c>
      <c r="V231" s="1" t="s">
        <v>53</v>
      </c>
      <c r="W231" s="1" t="s">
        <v>54</v>
      </c>
      <c r="X231" s="1" t="s">
        <v>55</v>
      </c>
      <c r="Y231" s="1" t="s">
        <v>251</v>
      </c>
      <c r="AA231" s="14">
        <v>33604</v>
      </c>
      <c r="AM231" s="3">
        <v>88</v>
      </c>
      <c r="AN231" s="1">
        <v>16</v>
      </c>
      <c r="AO231" s="3">
        <v>8</v>
      </c>
    </row>
    <row r="232" spans="1:41" x14ac:dyDescent="0.25">
      <c r="A232" s="1" t="s">
        <v>356</v>
      </c>
      <c r="C232" s="1" t="s">
        <v>53</v>
      </c>
      <c r="D232" s="1">
        <v>162.24083447185799</v>
      </c>
      <c r="E232" s="1">
        <v>-77.190231999783407</v>
      </c>
      <c r="F232" s="1">
        <v>5000</v>
      </c>
      <c r="G232" s="1" t="s">
        <v>354</v>
      </c>
      <c r="H232" s="1">
        <v>1100</v>
      </c>
      <c r="I232" s="1" t="s">
        <v>44</v>
      </c>
      <c r="J232" s="1" t="s">
        <v>250</v>
      </c>
      <c r="L232" s="1" t="s">
        <v>161</v>
      </c>
      <c r="M232" s="1" t="s">
        <v>134</v>
      </c>
      <c r="N232" s="1" t="s">
        <v>48</v>
      </c>
      <c r="O232" s="1" t="s">
        <v>49</v>
      </c>
      <c r="P232" s="1" t="s">
        <v>162</v>
      </c>
      <c r="S232" s="1">
        <v>47071</v>
      </c>
      <c r="T232" s="1" t="s">
        <v>52</v>
      </c>
      <c r="V232" s="1" t="s">
        <v>53</v>
      </c>
      <c r="W232" s="1" t="s">
        <v>54</v>
      </c>
      <c r="X232" s="1" t="s">
        <v>55</v>
      </c>
      <c r="Y232" s="1" t="s">
        <v>251</v>
      </c>
      <c r="AA232" s="14">
        <v>33604</v>
      </c>
      <c r="AM232" s="3">
        <v>88</v>
      </c>
      <c r="AN232" s="1">
        <v>14</v>
      </c>
      <c r="AO232" s="3">
        <v>7</v>
      </c>
    </row>
    <row r="233" spans="1:41" x14ac:dyDescent="0.25">
      <c r="A233" s="1" t="s">
        <v>357</v>
      </c>
      <c r="C233" s="1" t="s">
        <v>53</v>
      </c>
      <c r="D233" s="1">
        <v>163.10080684528</v>
      </c>
      <c r="E233" s="1">
        <v>-77.270223812034899</v>
      </c>
      <c r="F233" s="1">
        <v>5000</v>
      </c>
      <c r="G233" s="1" t="s">
        <v>358</v>
      </c>
      <c r="H233" s="1">
        <v>735</v>
      </c>
      <c r="I233" s="1" t="s">
        <v>44</v>
      </c>
      <c r="J233" s="1" t="s">
        <v>304</v>
      </c>
      <c r="L233" s="1" t="s">
        <v>305</v>
      </c>
      <c r="M233" s="1" t="s">
        <v>169</v>
      </c>
      <c r="N233" s="1" t="s">
        <v>49</v>
      </c>
      <c r="O233" s="1" t="s">
        <v>306</v>
      </c>
      <c r="P233" s="1" t="s">
        <v>162</v>
      </c>
      <c r="S233" s="1">
        <v>47089</v>
      </c>
      <c r="T233" s="1" t="s">
        <v>52</v>
      </c>
      <c r="V233" s="1" t="s">
        <v>53</v>
      </c>
      <c r="W233" s="1" t="s">
        <v>54</v>
      </c>
      <c r="X233" s="1" t="s">
        <v>55</v>
      </c>
      <c r="Y233" s="1" t="s">
        <v>251</v>
      </c>
      <c r="AA233" s="14">
        <v>33604</v>
      </c>
      <c r="AI233" s="1">
        <v>13.1</v>
      </c>
      <c r="AK233" s="2">
        <v>4</v>
      </c>
      <c r="AM233" s="3">
        <v>83</v>
      </c>
      <c r="AN233" s="1">
        <v>6</v>
      </c>
      <c r="AO233" s="3">
        <v>3</v>
      </c>
    </row>
    <row r="234" spans="1:41" x14ac:dyDescent="0.25">
      <c r="A234" s="1" t="s">
        <v>357</v>
      </c>
      <c r="C234" s="1" t="s">
        <v>53</v>
      </c>
      <c r="D234" s="1">
        <v>163.10080684528</v>
      </c>
      <c r="E234" s="1">
        <v>-77.270223812034899</v>
      </c>
      <c r="F234" s="1">
        <v>5000</v>
      </c>
      <c r="G234" s="1" t="s">
        <v>358</v>
      </c>
      <c r="H234" s="1">
        <v>735</v>
      </c>
      <c r="I234" s="1" t="s">
        <v>44</v>
      </c>
      <c r="J234" s="1" t="s">
        <v>304</v>
      </c>
      <c r="L234" s="1" t="s">
        <v>305</v>
      </c>
      <c r="M234" s="1" t="s">
        <v>169</v>
      </c>
      <c r="N234" s="1" t="s">
        <v>49</v>
      </c>
      <c r="O234" s="1" t="s">
        <v>306</v>
      </c>
      <c r="P234" s="1" t="s">
        <v>162</v>
      </c>
      <c r="S234" s="1">
        <v>47090</v>
      </c>
      <c r="T234" s="1" t="s">
        <v>52</v>
      </c>
      <c r="U234" s="1" t="s">
        <v>263</v>
      </c>
      <c r="V234" s="1" t="s">
        <v>53</v>
      </c>
      <c r="W234" s="1" t="s">
        <v>54</v>
      </c>
      <c r="X234" s="1" t="s">
        <v>55</v>
      </c>
      <c r="Y234" s="1" t="s">
        <v>251</v>
      </c>
      <c r="Z234" s="1" t="s">
        <v>264</v>
      </c>
      <c r="AA234" s="14">
        <v>33604</v>
      </c>
      <c r="AM234" s="3">
        <v>93</v>
      </c>
      <c r="AN234" s="1">
        <v>12</v>
      </c>
      <c r="AO234" s="3">
        <v>6</v>
      </c>
    </row>
    <row r="235" spans="1:41" x14ac:dyDescent="0.25">
      <c r="A235" s="1" t="s">
        <v>359</v>
      </c>
      <c r="C235" s="1" t="s">
        <v>53</v>
      </c>
      <c r="D235" s="1">
        <v>162.420836990395</v>
      </c>
      <c r="E235" s="1">
        <v>-77.300225015271394</v>
      </c>
      <c r="F235" s="1">
        <v>5000</v>
      </c>
      <c r="G235" s="1" t="s">
        <v>360</v>
      </c>
      <c r="H235" s="1">
        <v>1820</v>
      </c>
      <c r="I235" s="1" t="s">
        <v>44</v>
      </c>
      <c r="J235" s="1" t="s">
        <v>304</v>
      </c>
      <c r="L235" s="1" t="s">
        <v>305</v>
      </c>
      <c r="M235" s="1" t="s">
        <v>169</v>
      </c>
      <c r="N235" s="1" t="s">
        <v>49</v>
      </c>
      <c r="O235" s="1" t="s">
        <v>306</v>
      </c>
      <c r="P235" s="1" t="s">
        <v>162</v>
      </c>
      <c r="S235" s="1">
        <v>47077</v>
      </c>
      <c r="T235" s="1" t="s">
        <v>52</v>
      </c>
      <c r="V235" s="1" t="s">
        <v>53</v>
      </c>
      <c r="W235" s="1" t="s">
        <v>54</v>
      </c>
      <c r="X235" s="1" t="s">
        <v>55</v>
      </c>
      <c r="Y235" s="1" t="s">
        <v>251</v>
      </c>
      <c r="AA235" s="14">
        <v>33604</v>
      </c>
      <c r="AI235" s="1">
        <v>13.2</v>
      </c>
      <c r="AK235" s="2">
        <v>3.6</v>
      </c>
      <c r="AM235" s="3">
        <v>115</v>
      </c>
      <c r="AN235" s="1">
        <v>16</v>
      </c>
      <c r="AO235" s="3">
        <v>8</v>
      </c>
    </row>
    <row r="236" spans="1:41" x14ac:dyDescent="0.25">
      <c r="A236" s="1" t="s">
        <v>359</v>
      </c>
      <c r="C236" s="1" t="s">
        <v>53</v>
      </c>
      <c r="D236" s="1">
        <v>162.420836990395</v>
      </c>
      <c r="E236" s="1">
        <v>-77.300225015271394</v>
      </c>
      <c r="F236" s="1">
        <v>5000</v>
      </c>
      <c r="G236" s="1" t="s">
        <v>360</v>
      </c>
      <c r="H236" s="1">
        <v>1820</v>
      </c>
      <c r="I236" s="1" t="s">
        <v>44</v>
      </c>
      <c r="J236" s="1" t="s">
        <v>304</v>
      </c>
      <c r="L236" s="1" t="s">
        <v>305</v>
      </c>
      <c r="M236" s="1" t="s">
        <v>169</v>
      </c>
      <c r="N236" s="1" t="s">
        <v>49</v>
      </c>
      <c r="O236" s="1" t="s">
        <v>306</v>
      </c>
      <c r="P236" s="1" t="s">
        <v>162</v>
      </c>
      <c r="S236" s="1">
        <v>47078</v>
      </c>
      <c r="T236" s="1" t="s">
        <v>52</v>
      </c>
      <c r="U236" s="1" t="s">
        <v>263</v>
      </c>
      <c r="V236" s="1" t="s">
        <v>53</v>
      </c>
      <c r="W236" s="1" t="s">
        <v>54</v>
      </c>
      <c r="X236" s="1" t="s">
        <v>55</v>
      </c>
      <c r="Y236" s="1" t="s">
        <v>251</v>
      </c>
      <c r="Z236" s="1" t="s">
        <v>264</v>
      </c>
      <c r="AA236" s="14">
        <v>33604</v>
      </c>
      <c r="AM236" s="3">
        <v>130</v>
      </c>
      <c r="AN236" s="1">
        <v>32</v>
      </c>
      <c r="AO236" s="3">
        <v>16</v>
      </c>
    </row>
    <row r="237" spans="1:41" x14ac:dyDescent="0.25">
      <c r="A237" s="1" t="s">
        <v>361</v>
      </c>
      <c r="C237" s="1" t="s">
        <v>53</v>
      </c>
      <c r="D237" s="1">
        <v>162.420836990395</v>
      </c>
      <c r="E237" s="1">
        <v>-77.300225015271394</v>
      </c>
      <c r="F237" s="1">
        <v>5000</v>
      </c>
      <c r="G237" s="1" t="s">
        <v>360</v>
      </c>
      <c r="H237" s="1">
        <v>1670</v>
      </c>
      <c r="I237" s="1" t="s">
        <v>44</v>
      </c>
      <c r="J237" s="1" t="s">
        <v>304</v>
      </c>
      <c r="L237" s="1" t="s">
        <v>305</v>
      </c>
      <c r="M237" s="1" t="s">
        <v>169</v>
      </c>
      <c r="N237" s="1" t="s">
        <v>49</v>
      </c>
      <c r="O237" s="1" t="s">
        <v>306</v>
      </c>
      <c r="P237" s="1" t="s">
        <v>162</v>
      </c>
      <c r="S237" s="1">
        <v>47079</v>
      </c>
      <c r="T237" s="1" t="s">
        <v>52</v>
      </c>
      <c r="V237" s="1" t="s">
        <v>53</v>
      </c>
      <c r="W237" s="1" t="s">
        <v>54</v>
      </c>
      <c r="X237" s="1" t="s">
        <v>55</v>
      </c>
      <c r="Y237" s="1" t="s">
        <v>251</v>
      </c>
      <c r="AA237" s="14">
        <v>33604</v>
      </c>
      <c r="AI237" s="1">
        <v>13.2</v>
      </c>
      <c r="AK237" s="2">
        <v>3.6</v>
      </c>
      <c r="AM237" s="3">
        <v>79</v>
      </c>
      <c r="AN237" s="1">
        <v>6</v>
      </c>
      <c r="AO237" s="3">
        <v>3</v>
      </c>
    </row>
    <row r="238" spans="1:41" x14ac:dyDescent="0.25">
      <c r="A238" s="1" t="s">
        <v>361</v>
      </c>
      <c r="C238" s="1" t="s">
        <v>53</v>
      </c>
      <c r="D238" s="1">
        <v>162.420836990395</v>
      </c>
      <c r="E238" s="1">
        <v>-77.300225015271394</v>
      </c>
      <c r="F238" s="1">
        <v>5000</v>
      </c>
      <c r="G238" s="1" t="s">
        <v>360</v>
      </c>
      <c r="H238" s="1">
        <v>1670</v>
      </c>
      <c r="I238" s="1" t="s">
        <v>44</v>
      </c>
      <c r="J238" s="1" t="s">
        <v>304</v>
      </c>
      <c r="L238" s="1" t="s">
        <v>305</v>
      </c>
      <c r="M238" s="1" t="s">
        <v>169</v>
      </c>
      <c r="N238" s="1" t="s">
        <v>49</v>
      </c>
      <c r="O238" s="1" t="s">
        <v>306</v>
      </c>
      <c r="P238" s="1" t="s">
        <v>162</v>
      </c>
      <c r="S238" s="1">
        <v>47080</v>
      </c>
      <c r="T238" s="1" t="s">
        <v>52</v>
      </c>
      <c r="U238" s="1" t="s">
        <v>263</v>
      </c>
      <c r="V238" s="1" t="s">
        <v>53</v>
      </c>
      <c r="W238" s="1" t="s">
        <v>54</v>
      </c>
      <c r="X238" s="1" t="s">
        <v>55</v>
      </c>
      <c r="Y238" s="1" t="s">
        <v>251</v>
      </c>
      <c r="Z238" s="1" t="s">
        <v>264</v>
      </c>
      <c r="AA238" s="14">
        <v>33604</v>
      </c>
      <c r="AM238" s="3">
        <v>78</v>
      </c>
      <c r="AN238" s="1">
        <v>12</v>
      </c>
      <c r="AO238" s="3">
        <v>6</v>
      </c>
    </row>
    <row r="239" spans="1:41" x14ac:dyDescent="0.25">
      <c r="A239" s="1" t="s">
        <v>362</v>
      </c>
      <c r="C239" s="1" t="s">
        <v>53</v>
      </c>
      <c r="D239" s="1">
        <v>162.420836990395</v>
      </c>
      <c r="E239" s="1">
        <v>-77.300225015271394</v>
      </c>
      <c r="F239" s="1">
        <v>5000</v>
      </c>
      <c r="G239" s="1" t="s">
        <v>360</v>
      </c>
      <c r="H239" s="1">
        <v>1400</v>
      </c>
      <c r="I239" s="1" t="s">
        <v>44</v>
      </c>
      <c r="J239" s="1" t="s">
        <v>250</v>
      </c>
      <c r="L239" s="1" t="s">
        <v>161</v>
      </c>
      <c r="M239" s="1" t="s">
        <v>134</v>
      </c>
      <c r="N239" s="1" t="s">
        <v>48</v>
      </c>
      <c r="O239" s="1" t="s">
        <v>49</v>
      </c>
      <c r="P239" s="1" t="s">
        <v>162</v>
      </c>
      <c r="S239" s="1">
        <v>47081</v>
      </c>
      <c r="T239" s="1" t="s">
        <v>52</v>
      </c>
      <c r="V239" s="1" t="s">
        <v>53</v>
      </c>
      <c r="W239" s="1" t="s">
        <v>54</v>
      </c>
      <c r="X239" s="1" t="s">
        <v>55</v>
      </c>
      <c r="Y239" s="1" t="s">
        <v>251</v>
      </c>
      <c r="AA239" s="14">
        <v>33604</v>
      </c>
      <c r="AI239" s="1">
        <v>13.1</v>
      </c>
      <c r="AK239" s="2">
        <v>4.2</v>
      </c>
      <c r="AM239" s="3">
        <v>117</v>
      </c>
      <c r="AN239" s="1">
        <v>20</v>
      </c>
      <c r="AO239" s="3">
        <v>10</v>
      </c>
    </row>
    <row r="240" spans="1:41" x14ac:dyDescent="0.25">
      <c r="A240" s="1" t="s">
        <v>363</v>
      </c>
      <c r="C240" s="1" t="s">
        <v>53</v>
      </c>
      <c r="D240" s="1">
        <v>162.420836990395</v>
      </c>
      <c r="E240" s="1">
        <v>-77.300225015271394</v>
      </c>
      <c r="F240" s="1">
        <v>5000</v>
      </c>
      <c r="G240" s="1" t="s">
        <v>360</v>
      </c>
      <c r="H240" s="1">
        <v>1295</v>
      </c>
      <c r="I240" s="1" t="s">
        <v>44</v>
      </c>
      <c r="J240" s="1" t="s">
        <v>250</v>
      </c>
      <c r="L240" s="1" t="s">
        <v>161</v>
      </c>
      <c r="M240" s="1" t="s">
        <v>134</v>
      </c>
      <c r="N240" s="1" t="s">
        <v>48</v>
      </c>
      <c r="O240" s="1" t="s">
        <v>49</v>
      </c>
      <c r="P240" s="1" t="s">
        <v>162</v>
      </c>
      <c r="S240" s="1">
        <v>47082</v>
      </c>
      <c r="T240" s="1" t="s">
        <v>52</v>
      </c>
      <c r="V240" s="1" t="s">
        <v>53</v>
      </c>
      <c r="W240" s="1" t="s">
        <v>54</v>
      </c>
      <c r="X240" s="1" t="s">
        <v>55</v>
      </c>
      <c r="Y240" s="1" t="s">
        <v>251</v>
      </c>
      <c r="AA240" s="14">
        <v>33604</v>
      </c>
      <c r="AM240" s="3">
        <v>100</v>
      </c>
      <c r="AN240" s="1">
        <v>16</v>
      </c>
      <c r="AO240" s="3">
        <v>8</v>
      </c>
    </row>
    <row r="241" spans="1:41" x14ac:dyDescent="0.25">
      <c r="A241" s="1" t="s">
        <v>364</v>
      </c>
      <c r="C241" s="1" t="s">
        <v>53</v>
      </c>
      <c r="D241" s="1">
        <v>162.420836990395</v>
      </c>
      <c r="E241" s="1">
        <v>-77.300225015271394</v>
      </c>
      <c r="F241" s="1">
        <v>5000</v>
      </c>
      <c r="G241" s="1" t="s">
        <v>360</v>
      </c>
      <c r="H241" s="1">
        <v>1185</v>
      </c>
      <c r="I241" s="1" t="s">
        <v>44</v>
      </c>
      <c r="J241" s="1" t="s">
        <v>250</v>
      </c>
      <c r="L241" s="1" t="s">
        <v>161</v>
      </c>
      <c r="M241" s="1" t="s">
        <v>134</v>
      </c>
      <c r="N241" s="1" t="s">
        <v>48</v>
      </c>
      <c r="O241" s="1" t="s">
        <v>49</v>
      </c>
      <c r="P241" s="1" t="s">
        <v>162</v>
      </c>
      <c r="S241" s="1">
        <v>47083</v>
      </c>
      <c r="T241" s="1" t="s">
        <v>52</v>
      </c>
      <c r="V241" s="1" t="s">
        <v>53</v>
      </c>
      <c r="W241" s="1" t="s">
        <v>54</v>
      </c>
      <c r="X241" s="1" t="s">
        <v>55</v>
      </c>
      <c r="Y241" s="1" t="s">
        <v>251</v>
      </c>
      <c r="AA241" s="14">
        <v>33604</v>
      </c>
      <c r="AM241" s="3">
        <v>78</v>
      </c>
      <c r="AN241" s="1">
        <v>16</v>
      </c>
      <c r="AO241" s="3">
        <v>8</v>
      </c>
    </row>
    <row r="242" spans="1:41" x14ac:dyDescent="0.25">
      <c r="A242" s="1" t="s">
        <v>365</v>
      </c>
      <c r="C242" s="1" t="s">
        <v>53</v>
      </c>
      <c r="D242" s="1">
        <v>162.420836990395</v>
      </c>
      <c r="E242" s="1">
        <v>-77.300225015271394</v>
      </c>
      <c r="F242" s="1">
        <v>5000</v>
      </c>
      <c r="G242" s="1" t="s">
        <v>360</v>
      </c>
      <c r="H242" s="1">
        <v>580</v>
      </c>
      <c r="I242" s="1" t="s">
        <v>44</v>
      </c>
      <c r="J242" s="1" t="s">
        <v>250</v>
      </c>
      <c r="L242" s="1" t="s">
        <v>161</v>
      </c>
      <c r="M242" s="1" t="s">
        <v>134</v>
      </c>
      <c r="N242" s="1" t="s">
        <v>48</v>
      </c>
      <c r="O242" s="1" t="s">
        <v>49</v>
      </c>
      <c r="P242" s="1" t="s">
        <v>162</v>
      </c>
      <c r="S242" s="1">
        <v>47084</v>
      </c>
      <c r="T242" s="1" t="s">
        <v>52</v>
      </c>
      <c r="V242" s="1" t="s">
        <v>53</v>
      </c>
      <c r="W242" s="1" t="s">
        <v>54</v>
      </c>
      <c r="X242" s="1" t="s">
        <v>55</v>
      </c>
      <c r="Y242" s="1" t="s">
        <v>251</v>
      </c>
      <c r="AA242" s="14">
        <v>33604</v>
      </c>
      <c r="AI242" s="1">
        <v>13.9</v>
      </c>
      <c r="AK242" s="2">
        <v>3.4</v>
      </c>
      <c r="AM242" s="3">
        <v>64</v>
      </c>
      <c r="AN242" s="1">
        <v>12</v>
      </c>
      <c r="AO242" s="3">
        <v>6</v>
      </c>
    </row>
    <row r="243" spans="1:41" x14ac:dyDescent="0.25">
      <c r="A243" s="1" t="s">
        <v>366</v>
      </c>
      <c r="C243" s="1" t="s">
        <v>53</v>
      </c>
      <c r="D243" s="1">
        <v>162.420836990395</v>
      </c>
      <c r="E243" s="1">
        <v>-77.300225015271394</v>
      </c>
      <c r="F243" s="1">
        <v>5000</v>
      </c>
      <c r="G243" s="1" t="s">
        <v>360</v>
      </c>
      <c r="H243" s="1">
        <v>961</v>
      </c>
      <c r="I243" s="1" t="s">
        <v>44</v>
      </c>
      <c r="J243" s="1" t="s">
        <v>250</v>
      </c>
      <c r="L243" s="1" t="s">
        <v>161</v>
      </c>
      <c r="M243" s="1" t="s">
        <v>134</v>
      </c>
      <c r="N243" s="1" t="s">
        <v>48</v>
      </c>
      <c r="O243" s="1" t="s">
        <v>49</v>
      </c>
      <c r="P243" s="1" t="s">
        <v>162</v>
      </c>
      <c r="S243" s="1">
        <v>47085</v>
      </c>
      <c r="T243" s="1" t="s">
        <v>52</v>
      </c>
      <c r="V243" s="1" t="s">
        <v>53</v>
      </c>
      <c r="W243" s="1" t="s">
        <v>54</v>
      </c>
      <c r="X243" s="1" t="s">
        <v>55</v>
      </c>
      <c r="Y243" s="1" t="s">
        <v>251</v>
      </c>
      <c r="AA243" s="14">
        <v>33604</v>
      </c>
      <c r="AI243" s="1">
        <v>13.1</v>
      </c>
      <c r="AK243" s="2">
        <v>3.6</v>
      </c>
      <c r="AM243" s="3">
        <v>95</v>
      </c>
      <c r="AN243" s="1">
        <v>20</v>
      </c>
      <c r="AO243" s="3">
        <v>10</v>
      </c>
    </row>
    <row r="244" spans="1:41" x14ac:dyDescent="0.25">
      <c r="A244" s="1" t="s">
        <v>367</v>
      </c>
      <c r="C244" s="1" t="s">
        <v>53</v>
      </c>
      <c r="D244" s="1">
        <v>162.420836990395</v>
      </c>
      <c r="E244" s="1">
        <v>-77.300225015271394</v>
      </c>
      <c r="F244" s="1">
        <v>5000</v>
      </c>
      <c r="G244" s="1" t="s">
        <v>360</v>
      </c>
      <c r="H244" s="1">
        <v>861</v>
      </c>
      <c r="I244" s="1" t="s">
        <v>44</v>
      </c>
      <c r="J244" s="1" t="s">
        <v>250</v>
      </c>
      <c r="L244" s="1" t="s">
        <v>161</v>
      </c>
      <c r="M244" s="1" t="s">
        <v>134</v>
      </c>
      <c r="N244" s="1" t="s">
        <v>48</v>
      </c>
      <c r="O244" s="1" t="s">
        <v>49</v>
      </c>
      <c r="P244" s="1" t="s">
        <v>162</v>
      </c>
      <c r="S244" s="1">
        <v>47086</v>
      </c>
      <c r="T244" s="1" t="s">
        <v>52</v>
      </c>
      <c r="V244" s="1" t="s">
        <v>53</v>
      </c>
      <c r="W244" s="1" t="s">
        <v>54</v>
      </c>
      <c r="X244" s="1" t="s">
        <v>55</v>
      </c>
      <c r="Y244" s="1" t="s">
        <v>251</v>
      </c>
      <c r="AA244" s="14">
        <v>33604</v>
      </c>
      <c r="AI244" s="1">
        <v>13.6</v>
      </c>
      <c r="AK244" s="2">
        <v>4.2</v>
      </c>
      <c r="AM244" s="3">
        <v>89</v>
      </c>
      <c r="AN244" s="1">
        <v>16</v>
      </c>
      <c r="AO244" s="3">
        <v>8</v>
      </c>
    </row>
    <row r="245" spans="1:41" x14ac:dyDescent="0.25">
      <c r="A245" s="1" t="s">
        <v>368</v>
      </c>
      <c r="C245" s="1" t="s">
        <v>53</v>
      </c>
      <c r="D245" s="1">
        <v>162.420836990395</v>
      </c>
      <c r="E245" s="1">
        <v>-77.300225015271394</v>
      </c>
      <c r="F245" s="1">
        <v>5000</v>
      </c>
      <c r="G245" s="1" t="s">
        <v>360</v>
      </c>
      <c r="H245" s="1">
        <v>737</v>
      </c>
      <c r="I245" s="1" t="s">
        <v>44</v>
      </c>
      <c r="J245" s="1" t="s">
        <v>250</v>
      </c>
      <c r="L245" s="1" t="s">
        <v>161</v>
      </c>
      <c r="M245" s="1" t="s">
        <v>134</v>
      </c>
      <c r="N245" s="1" t="s">
        <v>48</v>
      </c>
      <c r="O245" s="1" t="s">
        <v>49</v>
      </c>
      <c r="P245" s="1" t="s">
        <v>162</v>
      </c>
      <c r="S245" s="1">
        <v>47087</v>
      </c>
      <c r="T245" s="1" t="s">
        <v>52</v>
      </c>
      <c r="V245" s="1" t="s">
        <v>53</v>
      </c>
      <c r="W245" s="1" t="s">
        <v>54</v>
      </c>
      <c r="X245" s="1" t="s">
        <v>55</v>
      </c>
      <c r="Y245" s="1" t="s">
        <v>251</v>
      </c>
      <c r="AA245" s="14">
        <v>33604</v>
      </c>
      <c r="AI245" s="1">
        <v>13.6</v>
      </c>
      <c r="AK245" s="2">
        <v>3.6</v>
      </c>
      <c r="AM245" s="3">
        <v>78</v>
      </c>
      <c r="AN245" s="1">
        <v>12</v>
      </c>
      <c r="AO245" s="3">
        <v>6</v>
      </c>
    </row>
    <row r="246" spans="1:41" x14ac:dyDescent="0.25">
      <c r="A246" s="1" t="s">
        <v>369</v>
      </c>
      <c r="C246" s="1" t="s">
        <v>53</v>
      </c>
      <c r="D246" s="1">
        <v>162.420836990395</v>
      </c>
      <c r="E246" s="1">
        <v>-77.300225015271394</v>
      </c>
      <c r="F246" s="1">
        <v>5000</v>
      </c>
      <c r="G246" s="1" t="s">
        <v>360</v>
      </c>
      <c r="H246" s="1">
        <v>629</v>
      </c>
      <c r="I246" s="1" t="s">
        <v>44</v>
      </c>
      <c r="J246" s="1" t="s">
        <v>250</v>
      </c>
      <c r="L246" s="1" t="s">
        <v>161</v>
      </c>
      <c r="M246" s="1" t="s">
        <v>134</v>
      </c>
      <c r="N246" s="1" t="s">
        <v>48</v>
      </c>
      <c r="O246" s="1" t="s">
        <v>49</v>
      </c>
      <c r="P246" s="1" t="s">
        <v>162</v>
      </c>
      <c r="S246" s="1">
        <v>47088</v>
      </c>
      <c r="T246" s="1" t="s">
        <v>52</v>
      </c>
      <c r="V246" s="1" t="s">
        <v>53</v>
      </c>
      <c r="W246" s="1" t="s">
        <v>54</v>
      </c>
      <c r="X246" s="1" t="s">
        <v>55</v>
      </c>
      <c r="Y246" s="1" t="s">
        <v>251</v>
      </c>
      <c r="AA246" s="14">
        <v>33604</v>
      </c>
      <c r="AI246" s="1">
        <v>13.2</v>
      </c>
      <c r="AK246" s="2">
        <v>4.8</v>
      </c>
      <c r="AM246" s="3">
        <v>69</v>
      </c>
      <c r="AN246" s="1">
        <v>12</v>
      </c>
      <c r="AO246" s="3">
        <v>6</v>
      </c>
    </row>
    <row r="247" spans="1:41" x14ac:dyDescent="0.25">
      <c r="A247" s="1" t="s">
        <v>370</v>
      </c>
      <c r="C247" s="1" t="s">
        <v>53</v>
      </c>
      <c r="D247" s="1">
        <v>163.37079933329099</v>
      </c>
      <c r="E247" s="1">
        <v>-77.310220423708799</v>
      </c>
      <c r="F247" s="1">
        <v>5000</v>
      </c>
      <c r="G247" s="1" t="s">
        <v>371</v>
      </c>
      <c r="H247" s="1">
        <v>780</v>
      </c>
      <c r="I247" s="1" t="s">
        <v>44</v>
      </c>
      <c r="J247" s="1" t="s">
        <v>304</v>
      </c>
      <c r="L247" s="1" t="s">
        <v>305</v>
      </c>
      <c r="M247" s="1" t="s">
        <v>169</v>
      </c>
      <c r="N247" s="1" t="s">
        <v>49</v>
      </c>
      <c r="O247" s="1" t="s">
        <v>306</v>
      </c>
      <c r="P247" s="1" t="s">
        <v>162</v>
      </c>
      <c r="S247" s="1">
        <v>47091</v>
      </c>
      <c r="T247" s="1" t="s">
        <v>52</v>
      </c>
      <c r="V247" s="1" t="s">
        <v>53</v>
      </c>
      <c r="W247" s="1" t="s">
        <v>54</v>
      </c>
      <c r="X247" s="1" t="s">
        <v>55</v>
      </c>
      <c r="Y247" s="1" t="s">
        <v>251</v>
      </c>
      <c r="AA247" s="14">
        <v>33604</v>
      </c>
      <c r="AI247" s="1">
        <v>13.4</v>
      </c>
      <c r="AK247" s="2">
        <v>3.8</v>
      </c>
      <c r="AM247" s="3">
        <v>66</v>
      </c>
      <c r="AN247" s="1">
        <v>6</v>
      </c>
      <c r="AO247" s="3">
        <v>3</v>
      </c>
    </row>
    <row r="248" spans="1:41" x14ac:dyDescent="0.25">
      <c r="A248" s="1" t="s">
        <v>370</v>
      </c>
      <c r="C248" s="1" t="s">
        <v>53</v>
      </c>
      <c r="D248" s="1">
        <v>163.37079933329099</v>
      </c>
      <c r="E248" s="1">
        <v>-77.310220423708799</v>
      </c>
      <c r="F248" s="1">
        <v>5000</v>
      </c>
      <c r="G248" s="1" t="s">
        <v>371</v>
      </c>
      <c r="H248" s="1">
        <v>780</v>
      </c>
      <c r="I248" s="1" t="s">
        <v>44</v>
      </c>
      <c r="J248" s="1" t="s">
        <v>304</v>
      </c>
      <c r="L248" s="1" t="s">
        <v>305</v>
      </c>
      <c r="M248" s="1" t="s">
        <v>169</v>
      </c>
      <c r="N248" s="1" t="s">
        <v>49</v>
      </c>
      <c r="O248" s="1" t="s">
        <v>306</v>
      </c>
      <c r="P248" s="1" t="s">
        <v>162</v>
      </c>
      <c r="S248" s="1">
        <v>47092</v>
      </c>
      <c r="T248" s="1" t="s">
        <v>52</v>
      </c>
      <c r="U248" s="1" t="s">
        <v>263</v>
      </c>
      <c r="V248" s="1" t="s">
        <v>53</v>
      </c>
      <c r="W248" s="1" t="s">
        <v>54</v>
      </c>
      <c r="X248" s="1" t="s">
        <v>55</v>
      </c>
      <c r="Y248" s="1" t="s">
        <v>251</v>
      </c>
      <c r="Z248" s="1" t="s">
        <v>264</v>
      </c>
      <c r="AA248" s="14">
        <v>33604</v>
      </c>
      <c r="AM248" s="3">
        <v>73</v>
      </c>
      <c r="AN248" s="1">
        <v>10</v>
      </c>
      <c r="AO248" s="3">
        <v>5</v>
      </c>
    </row>
    <row r="249" spans="1:41" x14ac:dyDescent="0.25">
      <c r="A249" s="1" t="s">
        <v>372</v>
      </c>
      <c r="C249" s="1" t="s">
        <v>53</v>
      </c>
      <c r="D249" s="1">
        <v>163.24080549398499</v>
      </c>
      <c r="E249" s="1">
        <v>-77.320220402168601</v>
      </c>
      <c r="F249" s="1">
        <v>5000</v>
      </c>
      <c r="G249" s="1" t="s">
        <v>373</v>
      </c>
      <c r="H249" s="1">
        <v>860</v>
      </c>
      <c r="I249" s="1" t="s">
        <v>44</v>
      </c>
      <c r="J249" s="1" t="s">
        <v>304</v>
      </c>
      <c r="L249" s="1" t="s">
        <v>305</v>
      </c>
      <c r="M249" s="1" t="s">
        <v>169</v>
      </c>
      <c r="N249" s="1" t="s">
        <v>49</v>
      </c>
      <c r="O249" s="1" t="s">
        <v>306</v>
      </c>
      <c r="P249" s="1" t="s">
        <v>162</v>
      </c>
      <c r="S249" s="1">
        <v>47093</v>
      </c>
      <c r="T249" s="1" t="s">
        <v>52</v>
      </c>
      <c r="V249" s="1" t="s">
        <v>53</v>
      </c>
      <c r="W249" s="1" t="s">
        <v>54</v>
      </c>
      <c r="X249" s="1" t="s">
        <v>55</v>
      </c>
      <c r="Y249" s="1" t="s">
        <v>251</v>
      </c>
      <c r="AA249" s="14">
        <v>33604</v>
      </c>
      <c r="AI249" s="1">
        <v>13.7</v>
      </c>
      <c r="AK249" s="2">
        <v>4.5999999999999996</v>
      </c>
      <c r="AM249" s="3">
        <v>61</v>
      </c>
      <c r="AN249" s="1">
        <v>6</v>
      </c>
      <c r="AO249" s="3">
        <v>3</v>
      </c>
    </row>
    <row r="250" spans="1:41" x14ac:dyDescent="0.25">
      <c r="A250" s="1" t="s">
        <v>372</v>
      </c>
      <c r="C250" s="1" t="s">
        <v>53</v>
      </c>
      <c r="D250" s="1">
        <v>163.24080549398499</v>
      </c>
      <c r="E250" s="1">
        <v>-77.320220402168601</v>
      </c>
      <c r="F250" s="1">
        <v>5000</v>
      </c>
      <c r="G250" s="1" t="s">
        <v>373</v>
      </c>
      <c r="H250" s="1">
        <v>860</v>
      </c>
      <c r="I250" s="1" t="s">
        <v>44</v>
      </c>
      <c r="J250" s="1" t="s">
        <v>304</v>
      </c>
      <c r="L250" s="1" t="s">
        <v>305</v>
      </c>
      <c r="M250" s="1" t="s">
        <v>169</v>
      </c>
      <c r="N250" s="1" t="s">
        <v>49</v>
      </c>
      <c r="O250" s="1" t="s">
        <v>306</v>
      </c>
      <c r="P250" s="1" t="s">
        <v>162</v>
      </c>
      <c r="S250" s="1">
        <v>47094</v>
      </c>
      <c r="T250" s="1" t="s">
        <v>52</v>
      </c>
      <c r="U250" s="1" t="s">
        <v>263</v>
      </c>
      <c r="V250" s="1" t="s">
        <v>53</v>
      </c>
      <c r="W250" s="1" t="s">
        <v>54</v>
      </c>
      <c r="X250" s="1" t="s">
        <v>55</v>
      </c>
      <c r="Y250" s="1" t="s">
        <v>251</v>
      </c>
      <c r="Z250" s="1" t="s">
        <v>264</v>
      </c>
      <c r="AA250" s="14">
        <v>33604</v>
      </c>
      <c r="AM250" s="3">
        <v>66</v>
      </c>
      <c r="AN250" s="1">
        <v>10</v>
      </c>
      <c r="AO250" s="3">
        <v>5</v>
      </c>
    </row>
    <row r="251" spans="1:41" x14ac:dyDescent="0.25">
      <c r="A251" s="1" t="s">
        <v>374</v>
      </c>
      <c r="C251" s="1" t="s">
        <v>53</v>
      </c>
      <c r="D251" s="1">
        <v>163.06081544752601</v>
      </c>
      <c r="E251" s="1">
        <v>-77.350219464475998</v>
      </c>
      <c r="F251" s="1">
        <v>5000</v>
      </c>
      <c r="G251" s="1" t="s">
        <v>375</v>
      </c>
      <c r="H251" s="1">
        <v>830</v>
      </c>
      <c r="I251" s="1" t="s">
        <v>44</v>
      </c>
      <c r="J251" s="1" t="s">
        <v>250</v>
      </c>
      <c r="L251" s="1" t="s">
        <v>161</v>
      </c>
      <c r="M251" s="1" t="s">
        <v>134</v>
      </c>
      <c r="N251" s="1" t="s">
        <v>48</v>
      </c>
      <c r="O251" s="1" t="s">
        <v>49</v>
      </c>
      <c r="P251" s="1" t="s">
        <v>162</v>
      </c>
      <c r="S251" s="1">
        <v>47095</v>
      </c>
      <c r="T251" s="1" t="s">
        <v>52</v>
      </c>
      <c r="V251" s="1" t="s">
        <v>53</v>
      </c>
      <c r="W251" s="1" t="s">
        <v>54</v>
      </c>
      <c r="X251" s="1" t="s">
        <v>55</v>
      </c>
      <c r="Y251" s="1" t="s">
        <v>251</v>
      </c>
      <c r="AA251" s="14">
        <v>33604</v>
      </c>
      <c r="AI251" s="1">
        <v>13.5</v>
      </c>
      <c r="AK251" s="2">
        <v>4.2</v>
      </c>
      <c r="AM251" s="3">
        <v>73</v>
      </c>
      <c r="AN251" s="1">
        <v>6</v>
      </c>
      <c r="AO251" s="3">
        <v>3</v>
      </c>
    </row>
    <row r="252" spans="1:41" x14ac:dyDescent="0.25">
      <c r="A252" s="1" t="s">
        <v>376</v>
      </c>
      <c r="C252" s="1" t="s">
        <v>53</v>
      </c>
      <c r="D252" s="1">
        <v>162.830852949145</v>
      </c>
      <c r="E252" s="1">
        <v>-77.660202916192901</v>
      </c>
      <c r="F252" s="1">
        <v>5000</v>
      </c>
      <c r="G252" s="1" t="s">
        <v>253</v>
      </c>
      <c r="H252" s="1">
        <v>1300</v>
      </c>
      <c r="I252" s="1" t="s">
        <v>44</v>
      </c>
      <c r="J252" s="1" t="s">
        <v>250</v>
      </c>
      <c r="L252" s="1" t="s">
        <v>161</v>
      </c>
      <c r="M252" s="1" t="s">
        <v>134</v>
      </c>
      <c r="N252" s="1" t="s">
        <v>48</v>
      </c>
      <c r="O252" s="1" t="s">
        <v>49</v>
      </c>
      <c r="P252" s="1" t="s">
        <v>162</v>
      </c>
      <c r="S252" s="1">
        <v>47096</v>
      </c>
      <c r="T252" s="1" t="s">
        <v>52</v>
      </c>
      <c r="V252" s="1" t="s">
        <v>53</v>
      </c>
      <c r="W252" s="1" t="s">
        <v>54</v>
      </c>
      <c r="X252" s="1" t="s">
        <v>55</v>
      </c>
      <c r="Y252" s="1" t="s">
        <v>251</v>
      </c>
      <c r="AA252" s="14">
        <v>33604</v>
      </c>
      <c r="AI252" s="1">
        <v>13.5</v>
      </c>
      <c r="AK252" s="2">
        <v>3.8</v>
      </c>
      <c r="AM252" s="3">
        <v>73</v>
      </c>
      <c r="AN252" s="1">
        <v>10</v>
      </c>
      <c r="AO252" s="3">
        <v>5</v>
      </c>
    </row>
    <row r="253" spans="1:41" x14ac:dyDescent="0.25">
      <c r="A253" s="1" t="s">
        <v>377</v>
      </c>
      <c r="C253" s="1" t="s">
        <v>53</v>
      </c>
      <c r="D253" s="1">
        <v>162.12084371179799</v>
      </c>
      <c r="E253" s="1">
        <v>-77.240229701006896</v>
      </c>
      <c r="F253" s="1">
        <v>5000</v>
      </c>
      <c r="G253" s="1" t="s">
        <v>378</v>
      </c>
      <c r="H253" s="1">
        <v>980</v>
      </c>
      <c r="I253" s="1" t="s">
        <v>44</v>
      </c>
      <c r="J253" s="1" t="s">
        <v>304</v>
      </c>
      <c r="L253" s="1" t="s">
        <v>305</v>
      </c>
      <c r="M253" s="1" t="s">
        <v>169</v>
      </c>
      <c r="N253" s="1" t="s">
        <v>49</v>
      </c>
      <c r="O253" s="1" t="s">
        <v>306</v>
      </c>
      <c r="P253" s="1" t="s">
        <v>162</v>
      </c>
      <c r="S253" s="1">
        <v>47067</v>
      </c>
      <c r="T253" s="1" t="s">
        <v>52</v>
      </c>
      <c r="V253" s="1" t="s">
        <v>53</v>
      </c>
      <c r="W253" s="1" t="s">
        <v>54</v>
      </c>
      <c r="X253" s="1" t="s">
        <v>55</v>
      </c>
      <c r="Y253" s="1" t="s">
        <v>251</v>
      </c>
      <c r="AA253" s="14">
        <v>33604</v>
      </c>
      <c r="AM253" s="3">
        <v>77</v>
      </c>
      <c r="AN253" s="1">
        <v>8</v>
      </c>
      <c r="AO253" s="3">
        <v>4</v>
      </c>
    </row>
    <row r="254" spans="1:41" x14ac:dyDescent="0.25">
      <c r="A254" s="1" t="s">
        <v>379</v>
      </c>
      <c r="C254" s="1" t="s">
        <v>53</v>
      </c>
      <c r="D254" s="1">
        <v>161.30088108050899</v>
      </c>
      <c r="E254" s="1">
        <v>-77.290230502246303</v>
      </c>
      <c r="F254" s="1">
        <v>5000</v>
      </c>
      <c r="G254" s="1" t="s">
        <v>380</v>
      </c>
      <c r="H254" s="1">
        <v>1675</v>
      </c>
      <c r="I254" s="1" t="s">
        <v>44</v>
      </c>
      <c r="J254" s="1" t="s">
        <v>381</v>
      </c>
      <c r="L254" s="1" t="s">
        <v>381</v>
      </c>
      <c r="M254" s="1" t="s">
        <v>47</v>
      </c>
      <c r="N254" s="1" t="s">
        <v>382</v>
      </c>
      <c r="O254" s="1" t="s">
        <v>115</v>
      </c>
      <c r="P254" s="1" t="s">
        <v>162</v>
      </c>
      <c r="S254" s="1">
        <v>47068</v>
      </c>
      <c r="T254" s="1" t="s">
        <v>52</v>
      </c>
      <c r="V254" s="1" t="s">
        <v>53</v>
      </c>
      <c r="W254" s="1" t="s">
        <v>54</v>
      </c>
      <c r="X254" s="1" t="s">
        <v>55</v>
      </c>
      <c r="Y254" s="1" t="s">
        <v>251</v>
      </c>
      <c r="AA254" s="14">
        <v>33604</v>
      </c>
      <c r="AI254" s="1">
        <v>12.7</v>
      </c>
      <c r="AK254" s="2">
        <v>4</v>
      </c>
      <c r="AM254" s="3">
        <v>155</v>
      </c>
      <c r="AN254" s="1">
        <v>18</v>
      </c>
      <c r="AO254" s="3">
        <v>9</v>
      </c>
    </row>
    <row r="255" spans="1:41" x14ac:dyDescent="0.25">
      <c r="A255" s="1" t="s">
        <v>383</v>
      </c>
      <c r="C255" s="1" t="s">
        <v>53</v>
      </c>
      <c r="D255" s="1">
        <v>162.20078304048599</v>
      </c>
      <c r="E255" s="1">
        <v>-76.560267625930294</v>
      </c>
      <c r="F255" s="1">
        <v>5000</v>
      </c>
      <c r="G255" s="1" t="s">
        <v>319</v>
      </c>
      <c r="H255" s="1">
        <v>514</v>
      </c>
      <c r="I255" s="1" t="s">
        <v>44</v>
      </c>
      <c r="J255" s="1" t="s">
        <v>250</v>
      </c>
      <c r="L255" s="1" t="s">
        <v>161</v>
      </c>
      <c r="M255" s="1" t="s">
        <v>134</v>
      </c>
      <c r="N255" s="1" t="s">
        <v>48</v>
      </c>
      <c r="O255" s="1" t="s">
        <v>49</v>
      </c>
      <c r="P255" s="1" t="s">
        <v>162</v>
      </c>
      <c r="S255" s="1">
        <v>47150</v>
      </c>
      <c r="T255" s="1" t="s">
        <v>52</v>
      </c>
      <c r="V255" s="1" t="s">
        <v>53</v>
      </c>
      <c r="W255" s="1" t="s">
        <v>54</v>
      </c>
      <c r="X255" s="1" t="s">
        <v>55</v>
      </c>
      <c r="Y255" s="1" t="s">
        <v>251</v>
      </c>
      <c r="AA255" s="14">
        <v>33604</v>
      </c>
      <c r="AI255" s="1">
        <v>14.1</v>
      </c>
      <c r="AK255" s="2">
        <v>3.4</v>
      </c>
      <c r="AM255" s="3">
        <v>43</v>
      </c>
      <c r="AN255" s="1">
        <v>6</v>
      </c>
      <c r="AO255" s="3">
        <v>3</v>
      </c>
    </row>
    <row r="256" spans="1:41" x14ac:dyDescent="0.25">
      <c r="A256" s="1" t="s">
        <v>384</v>
      </c>
      <c r="C256" s="1" t="s">
        <v>53</v>
      </c>
      <c r="D256" s="1">
        <v>162.12078448300599</v>
      </c>
      <c r="E256" s="1">
        <v>-76.540269096330803</v>
      </c>
      <c r="F256" s="1">
        <v>5000</v>
      </c>
      <c r="G256" s="1" t="s">
        <v>385</v>
      </c>
      <c r="H256" s="1">
        <v>1247</v>
      </c>
      <c r="I256" s="1" t="s">
        <v>44</v>
      </c>
      <c r="J256" s="1" t="s">
        <v>250</v>
      </c>
      <c r="L256" s="1" t="s">
        <v>161</v>
      </c>
      <c r="M256" s="1" t="s">
        <v>134</v>
      </c>
      <c r="N256" s="1" t="s">
        <v>48</v>
      </c>
      <c r="O256" s="1" t="s">
        <v>49</v>
      </c>
      <c r="P256" s="1" t="s">
        <v>162</v>
      </c>
      <c r="S256" s="1">
        <v>47153</v>
      </c>
      <c r="T256" s="1" t="s">
        <v>52</v>
      </c>
      <c r="V256" s="1" t="s">
        <v>53</v>
      </c>
      <c r="W256" s="1" t="s">
        <v>54</v>
      </c>
      <c r="X256" s="1" t="s">
        <v>55</v>
      </c>
      <c r="Y256" s="1" t="s">
        <v>251</v>
      </c>
      <c r="AA256" s="14">
        <v>33604</v>
      </c>
      <c r="AI256" s="1">
        <v>13.2</v>
      </c>
      <c r="AK256" s="2">
        <v>4.8</v>
      </c>
      <c r="AM256" s="3">
        <v>87</v>
      </c>
      <c r="AN256" s="1">
        <v>8</v>
      </c>
      <c r="AO256" s="3">
        <v>4</v>
      </c>
    </row>
    <row r="257" spans="1:41" x14ac:dyDescent="0.25">
      <c r="A257" s="1" t="s">
        <v>386</v>
      </c>
      <c r="C257" s="1" t="s">
        <v>387</v>
      </c>
      <c r="D257" s="1">
        <v>161.370878282078</v>
      </c>
      <c r="E257" s="1">
        <v>-77.290230189070598</v>
      </c>
      <c r="F257" s="1">
        <v>5000</v>
      </c>
      <c r="G257" s="1" t="s">
        <v>388</v>
      </c>
      <c r="H257" s="1">
        <v>1395</v>
      </c>
      <c r="I257" s="1" t="s">
        <v>44</v>
      </c>
      <c r="J257" s="1" t="s">
        <v>133</v>
      </c>
      <c r="M257" s="1" t="s">
        <v>134</v>
      </c>
      <c r="N257" s="1" t="s">
        <v>48</v>
      </c>
      <c r="O257" s="1" t="s">
        <v>49</v>
      </c>
      <c r="P257" s="1" t="s">
        <v>162</v>
      </c>
      <c r="S257" s="1">
        <v>47154</v>
      </c>
      <c r="T257" s="1" t="s">
        <v>52</v>
      </c>
      <c r="U257" s="1" t="s">
        <v>255</v>
      </c>
      <c r="V257" s="1" t="s">
        <v>53</v>
      </c>
      <c r="W257" s="1" t="s">
        <v>54</v>
      </c>
      <c r="X257" s="1" t="s">
        <v>55</v>
      </c>
      <c r="Y257" s="1" t="s">
        <v>251</v>
      </c>
      <c r="AA257" s="14">
        <v>33604</v>
      </c>
      <c r="AI257" s="1">
        <v>12.5</v>
      </c>
      <c r="AK257" s="2">
        <v>4.2</v>
      </c>
      <c r="AM257" s="3">
        <v>148</v>
      </c>
      <c r="AN257" s="1">
        <v>12</v>
      </c>
      <c r="AO257" s="3">
        <v>6</v>
      </c>
    </row>
    <row r="258" spans="1:41" x14ac:dyDescent="0.25">
      <c r="A258" s="1" t="s">
        <v>386</v>
      </c>
      <c r="C258" s="1" t="s">
        <v>387</v>
      </c>
      <c r="D258" s="1">
        <v>161.370878282078</v>
      </c>
      <c r="E258" s="1">
        <v>-77.290230189070598</v>
      </c>
      <c r="F258" s="1">
        <v>5000</v>
      </c>
      <c r="G258" s="1" t="s">
        <v>388</v>
      </c>
      <c r="H258" s="1">
        <v>1395</v>
      </c>
      <c r="I258" s="1" t="s">
        <v>44</v>
      </c>
      <c r="J258" s="1" t="s">
        <v>133</v>
      </c>
      <c r="M258" s="1" t="s">
        <v>134</v>
      </c>
      <c r="N258" s="1" t="s">
        <v>48</v>
      </c>
      <c r="O258" s="1" t="s">
        <v>49</v>
      </c>
      <c r="P258" s="1" t="s">
        <v>162</v>
      </c>
      <c r="S258" s="1">
        <v>47155</v>
      </c>
      <c r="T258" s="1" t="s">
        <v>52</v>
      </c>
      <c r="U258" s="1" t="s">
        <v>256</v>
      </c>
      <c r="V258" s="1" t="s">
        <v>53</v>
      </c>
      <c r="W258" s="1" t="s">
        <v>54</v>
      </c>
      <c r="X258" s="1" t="s">
        <v>55</v>
      </c>
      <c r="Y258" s="1" t="s">
        <v>251</v>
      </c>
      <c r="AA258" s="14">
        <v>33604</v>
      </c>
      <c r="AI258" s="1">
        <v>12.9</v>
      </c>
      <c r="AK258" s="2">
        <v>3.6</v>
      </c>
      <c r="AM258" s="3">
        <v>155</v>
      </c>
      <c r="AN258" s="1">
        <v>14</v>
      </c>
      <c r="AO258" s="3">
        <v>7</v>
      </c>
    </row>
    <row r="259" spans="1:41" x14ac:dyDescent="0.25">
      <c r="A259" s="1" t="s">
        <v>389</v>
      </c>
      <c r="C259" s="1" t="s">
        <v>387</v>
      </c>
      <c r="D259" s="1">
        <v>161.370878282078</v>
      </c>
      <c r="E259" s="1">
        <v>-77.290230189070598</v>
      </c>
      <c r="F259" s="1">
        <v>5000</v>
      </c>
      <c r="G259" s="1" t="s">
        <v>388</v>
      </c>
      <c r="H259" s="1">
        <v>1295</v>
      </c>
      <c r="I259" s="1" t="s">
        <v>44</v>
      </c>
      <c r="J259" s="1" t="s">
        <v>390</v>
      </c>
      <c r="L259" s="1" t="s">
        <v>391</v>
      </c>
      <c r="M259" s="1" t="s">
        <v>392</v>
      </c>
      <c r="N259" s="1" t="s">
        <v>393</v>
      </c>
      <c r="O259" s="1" t="s">
        <v>393</v>
      </c>
      <c r="P259" s="1" t="s">
        <v>162</v>
      </c>
      <c r="S259" s="1">
        <v>47156</v>
      </c>
      <c r="T259" s="1" t="s">
        <v>52</v>
      </c>
      <c r="V259" s="1" t="s">
        <v>53</v>
      </c>
      <c r="W259" s="1" t="s">
        <v>54</v>
      </c>
      <c r="X259" s="1" t="s">
        <v>55</v>
      </c>
      <c r="Y259" s="1" t="s">
        <v>251</v>
      </c>
      <c r="AA259" s="14">
        <v>33604</v>
      </c>
      <c r="AM259" s="3">
        <v>98</v>
      </c>
      <c r="AN259" s="1">
        <v>10</v>
      </c>
      <c r="AO259" s="3">
        <v>5</v>
      </c>
    </row>
    <row r="260" spans="1:41" x14ac:dyDescent="0.25">
      <c r="A260" s="1" t="s">
        <v>394</v>
      </c>
      <c r="C260" s="1" t="s">
        <v>387</v>
      </c>
      <c r="D260" s="1">
        <v>161.370878282078</v>
      </c>
      <c r="E260" s="1">
        <v>-77.290230189070598</v>
      </c>
      <c r="F260" s="1">
        <v>5000</v>
      </c>
      <c r="G260" s="1" t="s">
        <v>388</v>
      </c>
      <c r="H260" s="1">
        <v>1195</v>
      </c>
      <c r="I260" s="1" t="s">
        <v>44</v>
      </c>
      <c r="J260" s="1" t="s">
        <v>390</v>
      </c>
      <c r="L260" s="1" t="s">
        <v>391</v>
      </c>
      <c r="M260" s="1" t="s">
        <v>392</v>
      </c>
      <c r="N260" s="1" t="s">
        <v>393</v>
      </c>
      <c r="O260" s="1" t="s">
        <v>393</v>
      </c>
      <c r="P260" s="1" t="s">
        <v>162</v>
      </c>
      <c r="S260" s="1">
        <v>47157</v>
      </c>
      <c r="T260" s="1" t="s">
        <v>52</v>
      </c>
      <c r="V260" s="1" t="s">
        <v>53</v>
      </c>
      <c r="W260" s="1" t="s">
        <v>54</v>
      </c>
      <c r="X260" s="1" t="s">
        <v>55</v>
      </c>
      <c r="Y260" s="1" t="s">
        <v>251</v>
      </c>
      <c r="AA260" s="14">
        <v>33604</v>
      </c>
      <c r="AI260" s="1">
        <v>12.8</v>
      </c>
      <c r="AK260" s="2">
        <v>4</v>
      </c>
      <c r="AM260" s="3">
        <v>100</v>
      </c>
      <c r="AN260" s="1">
        <v>8</v>
      </c>
      <c r="AO260" s="3">
        <v>4</v>
      </c>
    </row>
    <row r="261" spans="1:41" x14ac:dyDescent="0.25">
      <c r="A261" s="1" t="s">
        <v>395</v>
      </c>
      <c r="C261" s="1" t="s">
        <v>387</v>
      </c>
      <c r="D261" s="1">
        <v>161.370878282078</v>
      </c>
      <c r="E261" s="1">
        <v>-77.290230189070598</v>
      </c>
      <c r="F261" s="1">
        <v>5000</v>
      </c>
      <c r="G261" s="1" t="s">
        <v>388</v>
      </c>
      <c r="H261" s="1">
        <v>1095</v>
      </c>
      <c r="I261" s="1" t="s">
        <v>44</v>
      </c>
      <c r="J261" s="1" t="s">
        <v>390</v>
      </c>
      <c r="L261" s="1" t="s">
        <v>391</v>
      </c>
      <c r="M261" s="1" t="s">
        <v>392</v>
      </c>
      <c r="N261" s="1" t="s">
        <v>393</v>
      </c>
      <c r="O261" s="1" t="s">
        <v>393</v>
      </c>
      <c r="P261" s="1" t="s">
        <v>162</v>
      </c>
      <c r="S261" s="1">
        <v>47158</v>
      </c>
      <c r="T261" s="1" t="s">
        <v>52</v>
      </c>
      <c r="V261" s="1" t="s">
        <v>53</v>
      </c>
      <c r="W261" s="1" t="s">
        <v>54</v>
      </c>
      <c r="X261" s="1" t="s">
        <v>55</v>
      </c>
      <c r="Y261" s="1" t="s">
        <v>251</v>
      </c>
      <c r="AA261" s="14">
        <v>33604</v>
      </c>
      <c r="AI261" s="1">
        <v>12.7</v>
      </c>
      <c r="AK261" s="2">
        <v>5.2</v>
      </c>
      <c r="AM261" s="3">
        <v>100</v>
      </c>
      <c r="AN261" s="1">
        <v>8</v>
      </c>
      <c r="AO261" s="3">
        <v>4</v>
      </c>
    </row>
    <row r="262" spans="1:41" x14ac:dyDescent="0.25">
      <c r="A262" s="1" t="s">
        <v>396</v>
      </c>
      <c r="C262" s="1" t="s">
        <v>387</v>
      </c>
      <c r="D262" s="1">
        <v>161.370878282078</v>
      </c>
      <c r="E262" s="1">
        <v>-77.290230189070598</v>
      </c>
      <c r="F262" s="1">
        <v>5000</v>
      </c>
      <c r="G262" s="1" t="s">
        <v>388</v>
      </c>
      <c r="H262" s="1">
        <v>995</v>
      </c>
      <c r="I262" s="1" t="s">
        <v>44</v>
      </c>
      <c r="J262" s="1" t="s">
        <v>133</v>
      </c>
      <c r="M262" s="1" t="s">
        <v>134</v>
      </c>
      <c r="N262" s="1" t="s">
        <v>48</v>
      </c>
      <c r="O262" s="1" t="s">
        <v>49</v>
      </c>
      <c r="P262" s="1" t="s">
        <v>162</v>
      </c>
      <c r="S262" s="1">
        <v>47159</v>
      </c>
      <c r="T262" s="1" t="s">
        <v>52</v>
      </c>
      <c r="V262" s="1" t="s">
        <v>53</v>
      </c>
      <c r="W262" s="1" t="s">
        <v>54</v>
      </c>
      <c r="X262" s="1" t="s">
        <v>55</v>
      </c>
      <c r="Y262" s="1" t="s">
        <v>251</v>
      </c>
      <c r="AA262" s="14">
        <v>33604</v>
      </c>
      <c r="AI262" s="1">
        <v>13.2</v>
      </c>
      <c r="AK262" s="2">
        <v>3.4</v>
      </c>
      <c r="AM262" s="3">
        <v>124</v>
      </c>
      <c r="AN262" s="1">
        <v>10</v>
      </c>
      <c r="AO262" s="3">
        <v>5</v>
      </c>
    </row>
    <row r="263" spans="1:41" x14ac:dyDescent="0.25">
      <c r="A263" s="1" t="s">
        <v>397</v>
      </c>
      <c r="C263" s="1" t="s">
        <v>387</v>
      </c>
      <c r="D263" s="1">
        <v>161.370878282078</v>
      </c>
      <c r="E263" s="1">
        <v>-77.290230189070598</v>
      </c>
      <c r="F263" s="1">
        <v>5000</v>
      </c>
      <c r="G263" s="1" t="s">
        <v>388</v>
      </c>
      <c r="H263" s="1">
        <v>895</v>
      </c>
      <c r="I263" s="1" t="s">
        <v>44</v>
      </c>
      <c r="J263" s="1" t="s">
        <v>133</v>
      </c>
      <c r="M263" s="1" t="s">
        <v>134</v>
      </c>
      <c r="N263" s="1" t="s">
        <v>48</v>
      </c>
      <c r="O263" s="1" t="s">
        <v>49</v>
      </c>
      <c r="P263" s="1" t="s">
        <v>162</v>
      </c>
      <c r="S263" s="1">
        <v>47160</v>
      </c>
      <c r="T263" s="1" t="s">
        <v>52</v>
      </c>
      <c r="V263" s="1" t="s">
        <v>53</v>
      </c>
      <c r="W263" s="1" t="s">
        <v>54</v>
      </c>
      <c r="X263" s="1" t="s">
        <v>55</v>
      </c>
      <c r="Y263" s="1" t="s">
        <v>251</v>
      </c>
      <c r="AA263" s="14">
        <v>33604</v>
      </c>
      <c r="AM263" s="3">
        <v>122</v>
      </c>
      <c r="AN263" s="1">
        <v>10</v>
      </c>
      <c r="AO263" s="3">
        <v>5</v>
      </c>
    </row>
    <row r="264" spans="1:41" x14ac:dyDescent="0.25">
      <c r="A264" s="1" t="s">
        <v>398</v>
      </c>
      <c r="C264" s="1" t="s">
        <v>387</v>
      </c>
      <c r="D264" s="1">
        <v>161.370878282078</v>
      </c>
      <c r="E264" s="1">
        <v>-77.290230189070598</v>
      </c>
      <c r="F264" s="1">
        <v>5000</v>
      </c>
      <c r="G264" s="1" t="s">
        <v>388</v>
      </c>
      <c r="H264" s="1">
        <v>805</v>
      </c>
      <c r="I264" s="1" t="s">
        <v>44</v>
      </c>
      <c r="J264" s="1" t="s">
        <v>133</v>
      </c>
      <c r="M264" s="1" t="s">
        <v>134</v>
      </c>
      <c r="N264" s="1" t="s">
        <v>48</v>
      </c>
      <c r="O264" s="1" t="s">
        <v>49</v>
      </c>
      <c r="P264" s="1" t="s">
        <v>162</v>
      </c>
      <c r="S264" s="1">
        <v>47161</v>
      </c>
      <c r="T264" s="1" t="s">
        <v>52</v>
      </c>
      <c r="V264" s="1" t="s">
        <v>53</v>
      </c>
      <c r="W264" s="1" t="s">
        <v>54</v>
      </c>
      <c r="X264" s="1" t="s">
        <v>55</v>
      </c>
      <c r="Y264" s="1" t="s">
        <v>251</v>
      </c>
      <c r="AA264" s="14">
        <v>33604</v>
      </c>
      <c r="AM264" s="3">
        <v>115</v>
      </c>
      <c r="AN264" s="1">
        <v>14</v>
      </c>
      <c r="AO264" s="3">
        <v>7</v>
      </c>
    </row>
    <row r="265" spans="1:41" x14ac:dyDescent="0.25">
      <c r="A265" s="1" t="s">
        <v>398</v>
      </c>
      <c r="C265" s="1" t="s">
        <v>387</v>
      </c>
      <c r="D265" s="1">
        <v>161.370878282078</v>
      </c>
      <c r="E265" s="1">
        <v>-77.290230189070598</v>
      </c>
      <c r="F265" s="1">
        <v>5000</v>
      </c>
      <c r="G265" s="1" t="s">
        <v>388</v>
      </c>
      <c r="H265" s="1">
        <v>805</v>
      </c>
      <c r="I265" s="1" t="s">
        <v>44</v>
      </c>
      <c r="J265" s="1" t="s">
        <v>133</v>
      </c>
      <c r="M265" s="1" t="s">
        <v>134</v>
      </c>
      <c r="N265" s="1" t="s">
        <v>48</v>
      </c>
      <c r="O265" s="1" t="s">
        <v>49</v>
      </c>
      <c r="P265" s="1" t="s">
        <v>162</v>
      </c>
      <c r="S265" s="1">
        <v>47162</v>
      </c>
      <c r="T265" s="1" t="s">
        <v>52</v>
      </c>
      <c r="U265" s="1" t="s">
        <v>263</v>
      </c>
      <c r="V265" s="1" t="s">
        <v>53</v>
      </c>
      <c r="W265" s="1" t="s">
        <v>54</v>
      </c>
      <c r="X265" s="1" t="s">
        <v>55</v>
      </c>
      <c r="Y265" s="1" t="s">
        <v>251</v>
      </c>
      <c r="Z265" s="1" t="s">
        <v>264</v>
      </c>
      <c r="AA265" s="14">
        <v>33604</v>
      </c>
      <c r="AM265" s="3">
        <v>114</v>
      </c>
      <c r="AN265" s="1">
        <v>28</v>
      </c>
      <c r="AO265" s="3">
        <v>14</v>
      </c>
    </row>
    <row r="266" spans="1:41" x14ac:dyDescent="0.25">
      <c r="A266" s="1" t="s">
        <v>399</v>
      </c>
      <c r="C266" s="1" t="s">
        <v>387</v>
      </c>
      <c r="D266" s="1">
        <v>161.370878282078</v>
      </c>
      <c r="E266" s="1">
        <v>-77.290230189070598</v>
      </c>
      <c r="F266" s="1">
        <v>5000</v>
      </c>
      <c r="G266" s="1" t="s">
        <v>388</v>
      </c>
      <c r="H266" s="1">
        <v>445</v>
      </c>
      <c r="I266" s="1" t="s">
        <v>44</v>
      </c>
      <c r="J266" s="1" t="s">
        <v>133</v>
      </c>
      <c r="M266" s="1" t="s">
        <v>134</v>
      </c>
      <c r="N266" s="1" t="s">
        <v>48</v>
      </c>
      <c r="O266" s="1" t="s">
        <v>49</v>
      </c>
      <c r="P266" s="1" t="s">
        <v>162</v>
      </c>
      <c r="S266" s="1">
        <v>47163</v>
      </c>
      <c r="T266" s="1" t="s">
        <v>52</v>
      </c>
      <c r="V266" s="1" t="s">
        <v>53</v>
      </c>
      <c r="W266" s="1" t="s">
        <v>54</v>
      </c>
      <c r="X266" s="1" t="s">
        <v>55</v>
      </c>
      <c r="Y266" s="1" t="s">
        <v>251</v>
      </c>
      <c r="AA266" s="14">
        <v>33604</v>
      </c>
      <c r="AM266" s="3">
        <v>97</v>
      </c>
      <c r="AN266" s="1">
        <v>18</v>
      </c>
      <c r="AO266" s="3">
        <v>9</v>
      </c>
    </row>
    <row r="267" spans="1:41" x14ac:dyDescent="0.25">
      <c r="A267" s="1" t="s">
        <v>400</v>
      </c>
      <c r="C267" s="1" t="s">
        <v>387</v>
      </c>
      <c r="D267" s="1">
        <v>161.370878282078</v>
      </c>
      <c r="E267" s="1">
        <v>-77.290230189070598</v>
      </c>
      <c r="F267" s="1">
        <v>5000</v>
      </c>
      <c r="G267" s="1" t="s">
        <v>388</v>
      </c>
      <c r="H267" s="1">
        <v>345</v>
      </c>
      <c r="I267" s="1" t="s">
        <v>44</v>
      </c>
      <c r="J267" s="1" t="s">
        <v>133</v>
      </c>
      <c r="M267" s="1" t="s">
        <v>134</v>
      </c>
      <c r="N267" s="1" t="s">
        <v>48</v>
      </c>
      <c r="O267" s="1" t="s">
        <v>49</v>
      </c>
      <c r="P267" s="1" t="s">
        <v>162</v>
      </c>
      <c r="S267" s="1">
        <v>47164</v>
      </c>
      <c r="T267" s="1" t="s">
        <v>52</v>
      </c>
      <c r="V267" s="1" t="s">
        <v>53</v>
      </c>
      <c r="W267" s="1" t="s">
        <v>54</v>
      </c>
      <c r="X267" s="1" t="s">
        <v>55</v>
      </c>
      <c r="Y267" s="1" t="s">
        <v>251</v>
      </c>
      <c r="AA267" s="14">
        <v>33604</v>
      </c>
      <c r="AI267" s="1">
        <v>12.3</v>
      </c>
      <c r="AK267" s="2">
        <v>4.2</v>
      </c>
      <c r="AM267" s="3">
        <v>87</v>
      </c>
      <c r="AN267" s="1">
        <v>10</v>
      </c>
      <c r="AO267" s="3">
        <v>5</v>
      </c>
    </row>
    <row r="268" spans="1:41" x14ac:dyDescent="0.25">
      <c r="A268" s="1" t="s">
        <v>401</v>
      </c>
      <c r="C268" s="1" t="s">
        <v>387</v>
      </c>
      <c r="D268" s="1">
        <v>161.370878282078</v>
      </c>
      <c r="E268" s="1">
        <v>-77.290230189070598</v>
      </c>
      <c r="F268" s="1">
        <v>5000</v>
      </c>
      <c r="G268" s="1" t="s">
        <v>388</v>
      </c>
      <c r="H268" s="1">
        <v>245</v>
      </c>
      <c r="I268" s="1" t="s">
        <v>44</v>
      </c>
      <c r="J268" s="1" t="s">
        <v>133</v>
      </c>
      <c r="M268" s="1" t="s">
        <v>134</v>
      </c>
      <c r="N268" s="1" t="s">
        <v>48</v>
      </c>
      <c r="O268" s="1" t="s">
        <v>49</v>
      </c>
      <c r="P268" s="1" t="s">
        <v>162</v>
      </c>
      <c r="S268" s="1">
        <v>47165</v>
      </c>
      <c r="T268" s="1" t="s">
        <v>52</v>
      </c>
      <c r="V268" s="1" t="s">
        <v>53</v>
      </c>
      <c r="W268" s="1" t="s">
        <v>54</v>
      </c>
      <c r="X268" s="1" t="s">
        <v>55</v>
      </c>
      <c r="Y268" s="1" t="s">
        <v>251</v>
      </c>
      <c r="AA268" s="14">
        <v>33604</v>
      </c>
      <c r="AI268" s="1">
        <v>13.2</v>
      </c>
      <c r="AK268" s="2">
        <v>3.8</v>
      </c>
      <c r="AM268" s="3">
        <v>90</v>
      </c>
      <c r="AN268" s="1">
        <v>12</v>
      </c>
      <c r="AO268" s="3">
        <v>6</v>
      </c>
    </row>
    <row r="269" spans="1:41" x14ac:dyDescent="0.25">
      <c r="A269" s="1" t="s">
        <v>402</v>
      </c>
      <c r="C269" s="1" t="s">
        <v>387</v>
      </c>
      <c r="D269" s="1">
        <v>163.60047755516001</v>
      </c>
      <c r="E269" s="1">
        <v>-72.200502119702705</v>
      </c>
      <c r="F269" s="1">
        <v>5000</v>
      </c>
      <c r="G269" s="1" t="s">
        <v>403</v>
      </c>
      <c r="H269" s="1">
        <v>1870</v>
      </c>
      <c r="I269" s="1" t="s">
        <v>44</v>
      </c>
      <c r="J269" s="1" t="s">
        <v>133</v>
      </c>
      <c r="M269" s="1" t="s">
        <v>134</v>
      </c>
      <c r="N269" s="1" t="s">
        <v>115</v>
      </c>
      <c r="O269" s="1" t="s">
        <v>306</v>
      </c>
      <c r="P269" s="1" t="s">
        <v>404</v>
      </c>
      <c r="S269" s="1">
        <v>54129</v>
      </c>
      <c r="T269" s="1" t="s">
        <v>52</v>
      </c>
      <c r="V269" s="1" t="s">
        <v>53</v>
      </c>
      <c r="W269" s="1" t="s">
        <v>54</v>
      </c>
      <c r="X269" s="1" t="s">
        <v>55</v>
      </c>
      <c r="Y269" s="1" t="s">
        <v>251</v>
      </c>
      <c r="AA269" s="14">
        <v>32143</v>
      </c>
      <c r="AH269" s="1">
        <v>18</v>
      </c>
      <c r="AM269" s="3">
        <v>82</v>
      </c>
      <c r="AN269" s="1">
        <v>6</v>
      </c>
      <c r="AO269" s="3">
        <v>3</v>
      </c>
    </row>
    <row r="270" spans="1:41" x14ac:dyDescent="0.25">
      <c r="A270" s="1" t="s">
        <v>405</v>
      </c>
      <c r="C270" s="1" t="s">
        <v>387</v>
      </c>
      <c r="D270" s="1">
        <v>163.60047755516001</v>
      </c>
      <c r="E270" s="1">
        <v>-72.200502119702705</v>
      </c>
      <c r="F270" s="1">
        <v>5000</v>
      </c>
      <c r="G270" s="1" t="s">
        <v>403</v>
      </c>
      <c r="H270" s="1">
        <v>1870</v>
      </c>
      <c r="I270" s="1" t="s">
        <v>44</v>
      </c>
      <c r="J270" s="1" t="s">
        <v>133</v>
      </c>
      <c r="M270" s="1" t="s">
        <v>134</v>
      </c>
      <c r="N270" s="1" t="s">
        <v>115</v>
      </c>
      <c r="O270" s="1" t="s">
        <v>306</v>
      </c>
      <c r="P270" s="1" t="s">
        <v>404</v>
      </c>
      <c r="S270" s="1">
        <v>54130</v>
      </c>
      <c r="T270" s="1" t="s">
        <v>52</v>
      </c>
      <c r="V270" s="1" t="s">
        <v>53</v>
      </c>
      <c r="W270" s="1" t="s">
        <v>54</v>
      </c>
      <c r="X270" s="1" t="s">
        <v>55</v>
      </c>
      <c r="Y270" s="1" t="s">
        <v>251</v>
      </c>
      <c r="AA270" s="14">
        <v>32143</v>
      </c>
      <c r="AH270" s="1">
        <v>1</v>
      </c>
      <c r="AM270" s="3">
        <v>86</v>
      </c>
      <c r="AN270" s="1">
        <v>14</v>
      </c>
      <c r="AO270" s="3">
        <v>7</v>
      </c>
    </row>
    <row r="271" spans="1:41" x14ac:dyDescent="0.25">
      <c r="A271" s="1" t="s">
        <v>406</v>
      </c>
      <c r="C271" s="1" t="s">
        <v>387</v>
      </c>
      <c r="D271" s="1">
        <v>163.60047755516001</v>
      </c>
      <c r="E271" s="1">
        <v>-72.200502119702705</v>
      </c>
      <c r="F271" s="1">
        <v>5000</v>
      </c>
      <c r="G271" s="1" t="s">
        <v>403</v>
      </c>
      <c r="H271" s="1">
        <v>1895</v>
      </c>
      <c r="I271" s="1" t="s">
        <v>44</v>
      </c>
      <c r="J271" s="1" t="s">
        <v>133</v>
      </c>
      <c r="M271" s="1" t="s">
        <v>134</v>
      </c>
      <c r="N271" s="1" t="s">
        <v>115</v>
      </c>
      <c r="O271" s="1" t="s">
        <v>306</v>
      </c>
      <c r="P271" s="1" t="s">
        <v>404</v>
      </c>
      <c r="S271" s="1">
        <v>54131</v>
      </c>
      <c r="T271" s="1" t="s">
        <v>52</v>
      </c>
      <c r="V271" s="1" t="s">
        <v>53</v>
      </c>
      <c r="W271" s="1" t="s">
        <v>54</v>
      </c>
      <c r="X271" s="1" t="s">
        <v>55</v>
      </c>
      <c r="Y271" s="1" t="s">
        <v>251</v>
      </c>
      <c r="AA271" s="14">
        <v>32143</v>
      </c>
      <c r="AH271" s="1">
        <v>10</v>
      </c>
      <c r="AM271" s="3">
        <v>79</v>
      </c>
      <c r="AN271" s="1">
        <v>8</v>
      </c>
      <c r="AO271" s="3">
        <v>4</v>
      </c>
    </row>
    <row r="272" spans="1:41" x14ac:dyDescent="0.25">
      <c r="A272" s="1" t="s">
        <v>407</v>
      </c>
      <c r="C272" s="1" t="s">
        <v>387</v>
      </c>
      <c r="D272" s="1">
        <v>163.60047755516001</v>
      </c>
      <c r="E272" s="1">
        <v>-72.200502119702705</v>
      </c>
      <c r="F272" s="1">
        <v>5000</v>
      </c>
      <c r="G272" s="1" t="s">
        <v>403</v>
      </c>
      <c r="H272" s="1">
        <v>1815</v>
      </c>
      <c r="I272" s="1" t="s">
        <v>44</v>
      </c>
      <c r="J272" s="1" t="s">
        <v>133</v>
      </c>
      <c r="M272" s="1" t="s">
        <v>134</v>
      </c>
      <c r="N272" s="1" t="s">
        <v>115</v>
      </c>
      <c r="O272" s="1" t="s">
        <v>306</v>
      </c>
      <c r="P272" s="1" t="s">
        <v>404</v>
      </c>
      <c r="S272" s="1">
        <v>54132</v>
      </c>
      <c r="T272" s="1" t="s">
        <v>52</v>
      </c>
      <c r="V272" s="1" t="s">
        <v>53</v>
      </c>
      <c r="W272" s="1" t="s">
        <v>54</v>
      </c>
      <c r="X272" s="1" t="s">
        <v>55</v>
      </c>
      <c r="Y272" s="1" t="s">
        <v>251</v>
      </c>
      <c r="AA272" s="14">
        <v>32143</v>
      </c>
      <c r="AH272" s="1">
        <v>14</v>
      </c>
      <c r="AM272" s="3">
        <v>85</v>
      </c>
      <c r="AN272" s="1">
        <v>6</v>
      </c>
      <c r="AO272" s="3">
        <v>3</v>
      </c>
    </row>
    <row r="273" spans="1:41" x14ac:dyDescent="0.25">
      <c r="A273" s="1" t="s">
        <v>408</v>
      </c>
      <c r="C273" s="1" t="s">
        <v>387</v>
      </c>
      <c r="D273" s="1">
        <v>163.60047755516001</v>
      </c>
      <c r="E273" s="1">
        <v>-72.200502119702705</v>
      </c>
      <c r="F273" s="1">
        <v>5000</v>
      </c>
      <c r="G273" s="1" t="s">
        <v>403</v>
      </c>
      <c r="H273" s="1">
        <v>1694</v>
      </c>
      <c r="I273" s="1" t="s">
        <v>44</v>
      </c>
      <c r="J273" s="1" t="s">
        <v>133</v>
      </c>
      <c r="M273" s="1" t="s">
        <v>134</v>
      </c>
      <c r="N273" s="1" t="s">
        <v>115</v>
      </c>
      <c r="O273" s="1" t="s">
        <v>306</v>
      </c>
      <c r="P273" s="1" t="s">
        <v>404</v>
      </c>
      <c r="S273" s="1">
        <v>54133</v>
      </c>
      <c r="T273" s="1" t="s">
        <v>52</v>
      </c>
      <c r="V273" s="1" t="s">
        <v>53</v>
      </c>
      <c r="W273" s="1" t="s">
        <v>54</v>
      </c>
      <c r="X273" s="1" t="s">
        <v>55</v>
      </c>
      <c r="Y273" s="1" t="s">
        <v>251</v>
      </c>
      <c r="AA273" s="14">
        <v>32143</v>
      </c>
      <c r="AH273" s="1">
        <v>93</v>
      </c>
      <c r="AI273" s="1">
        <v>12.97</v>
      </c>
      <c r="AJ273" s="1">
        <v>0.25</v>
      </c>
      <c r="AK273" s="2">
        <v>5.04</v>
      </c>
      <c r="AL273" s="1">
        <v>101</v>
      </c>
      <c r="AM273" s="3">
        <v>79</v>
      </c>
      <c r="AN273" s="1">
        <v>6</v>
      </c>
      <c r="AO273" s="3">
        <v>3</v>
      </c>
    </row>
    <row r="274" spans="1:41" x14ac:dyDescent="0.25">
      <c r="A274" s="1" t="s">
        <v>409</v>
      </c>
      <c r="C274" s="1" t="s">
        <v>387</v>
      </c>
      <c r="D274" s="1">
        <v>163.60047755516001</v>
      </c>
      <c r="E274" s="1">
        <v>-72.200502119702705</v>
      </c>
      <c r="F274" s="1">
        <v>5000</v>
      </c>
      <c r="G274" s="1" t="s">
        <v>403</v>
      </c>
      <c r="H274" s="1">
        <v>1532</v>
      </c>
      <c r="I274" s="1" t="s">
        <v>44</v>
      </c>
      <c r="J274" s="1" t="s">
        <v>133</v>
      </c>
      <c r="M274" s="1" t="s">
        <v>134</v>
      </c>
      <c r="N274" s="1" t="s">
        <v>115</v>
      </c>
      <c r="O274" s="1" t="s">
        <v>306</v>
      </c>
      <c r="P274" s="1" t="s">
        <v>404</v>
      </c>
      <c r="S274" s="1">
        <v>54134</v>
      </c>
      <c r="T274" s="1" t="s">
        <v>52</v>
      </c>
      <c r="V274" s="1" t="s">
        <v>53</v>
      </c>
      <c r="W274" s="1" t="s">
        <v>54</v>
      </c>
      <c r="X274" s="1" t="s">
        <v>55</v>
      </c>
      <c r="Y274" s="1" t="s">
        <v>251</v>
      </c>
      <c r="AA274" s="14">
        <v>32143</v>
      </c>
      <c r="AH274" s="1">
        <v>15</v>
      </c>
      <c r="AI274" s="1">
        <v>12.74</v>
      </c>
      <c r="AJ274" s="1">
        <v>0.23</v>
      </c>
      <c r="AK274" s="2">
        <v>4.6399999999999997</v>
      </c>
      <c r="AL274" s="1">
        <v>100</v>
      </c>
      <c r="AM274" s="3">
        <v>66</v>
      </c>
      <c r="AN274" s="1">
        <v>6</v>
      </c>
      <c r="AO274" s="3">
        <v>3</v>
      </c>
    </row>
    <row r="275" spans="1:41" x14ac:dyDescent="0.25">
      <c r="A275" s="1" t="s">
        <v>410</v>
      </c>
      <c r="C275" s="1" t="s">
        <v>387</v>
      </c>
      <c r="D275" s="1">
        <v>163.60047755516001</v>
      </c>
      <c r="E275" s="1">
        <v>-72.200502119702705</v>
      </c>
      <c r="F275" s="1">
        <v>5000</v>
      </c>
      <c r="G275" s="1" t="s">
        <v>403</v>
      </c>
      <c r="H275" s="1">
        <v>1950</v>
      </c>
      <c r="I275" s="1" t="s">
        <v>44</v>
      </c>
      <c r="J275" s="1" t="s">
        <v>133</v>
      </c>
      <c r="M275" s="1" t="s">
        <v>134</v>
      </c>
      <c r="N275" s="1" t="s">
        <v>115</v>
      </c>
      <c r="O275" s="1" t="s">
        <v>306</v>
      </c>
      <c r="P275" s="1" t="s">
        <v>404</v>
      </c>
      <c r="S275" s="1">
        <v>54135</v>
      </c>
      <c r="T275" s="1" t="s">
        <v>52</v>
      </c>
      <c r="V275" s="1" t="s">
        <v>53</v>
      </c>
      <c r="W275" s="1" t="s">
        <v>54</v>
      </c>
      <c r="X275" s="1" t="s">
        <v>55</v>
      </c>
      <c r="Y275" s="1" t="s">
        <v>251</v>
      </c>
      <c r="AA275" s="14">
        <v>32143</v>
      </c>
      <c r="AH275" s="1">
        <v>9</v>
      </c>
      <c r="AI275" s="1">
        <v>12.06</v>
      </c>
      <c r="AJ275" s="1">
        <v>0.22</v>
      </c>
      <c r="AK275" s="2">
        <v>4.5</v>
      </c>
      <c r="AL275" s="1">
        <v>101</v>
      </c>
      <c r="AM275" s="3">
        <v>79</v>
      </c>
      <c r="AN275" s="1">
        <v>8</v>
      </c>
      <c r="AO275" s="3">
        <v>4</v>
      </c>
    </row>
    <row r="276" spans="1:41" x14ac:dyDescent="0.25">
      <c r="A276" s="1" t="s">
        <v>411</v>
      </c>
      <c r="C276" s="1" t="s">
        <v>387</v>
      </c>
      <c r="D276" s="1">
        <v>163.60047755516001</v>
      </c>
      <c r="E276" s="1">
        <v>-72.200502119702705</v>
      </c>
      <c r="F276" s="1">
        <v>5000</v>
      </c>
      <c r="G276" s="1" t="s">
        <v>403</v>
      </c>
      <c r="H276" s="1">
        <v>1988</v>
      </c>
      <c r="I276" s="1" t="s">
        <v>44</v>
      </c>
      <c r="J276" s="1" t="s">
        <v>133</v>
      </c>
      <c r="M276" s="1" t="s">
        <v>134</v>
      </c>
      <c r="N276" s="1" t="s">
        <v>115</v>
      </c>
      <c r="O276" s="1" t="s">
        <v>306</v>
      </c>
      <c r="P276" s="1" t="s">
        <v>404</v>
      </c>
      <c r="S276" s="1">
        <v>54136</v>
      </c>
      <c r="T276" s="1" t="s">
        <v>52</v>
      </c>
      <c r="V276" s="1" t="s">
        <v>53</v>
      </c>
      <c r="W276" s="1" t="s">
        <v>54</v>
      </c>
      <c r="X276" s="1" t="s">
        <v>55</v>
      </c>
      <c r="Y276" s="1" t="s">
        <v>251</v>
      </c>
      <c r="AA276" s="14">
        <v>32143</v>
      </c>
      <c r="AH276" s="1">
        <v>1</v>
      </c>
      <c r="AI276" s="1">
        <v>12.65</v>
      </c>
      <c r="AJ276" s="1">
        <v>0.24</v>
      </c>
      <c r="AK276" s="2">
        <v>4.88</v>
      </c>
      <c r="AL276" s="1">
        <v>100</v>
      </c>
      <c r="AM276" s="3">
        <v>74</v>
      </c>
      <c r="AN276" s="1">
        <v>8</v>
      </c>
      <c r="AO276" s="3">
        <v>4</v>
      </c>
    </row>
    <row r="277" spans="1:41" x14ac:dyDescent="0.25">
      <c r="A277" s="1" t="s">
        <v>412</v>
      </c>
      <c r="C277" s="1" t="s">
        <v>387</v>
      </c>
      <c r="D277" s="1">
        <v>164.50049581728501</v>
      </c>
      <c r="E277" s="1">
        <v>-73.200444204593495</v>
      </c>
      <c r="F277" s="1">
        <v>5000</v>
      </c>
      <c r="G277" s="1" t="s">
        <v>413</v>
      </c>
      <c r="H277" s="1">
        <v>1015</v>
      </c>
      <c r="I277" s="1" t="s">
        <v>44</v>
      </c>
      <c r="J277" s="1" t="s">
        <v>133</v>
      </c>
      <c r="M277" s="1" t="s">
        <v>134</v>
      </c>
      <c r="N277" s="1" t="s">
        <v>115</v>
      </c>
      <c r="O277" s="1" t="s">
        <v>306</v>
      </c>
      <c r="P277" s="1" t="s">
        <v>404</v>
      </c>
      <c r="S277" s="1">
        <v>54137</v>
      </c>
      <c r="T277" s="1" t="s">
        <v>52</v>
      </c>
      <c r="V277" s="1" t="s">
        <v>53</v>
      </c>
      <c r="W277" s="1" t="s">
        <v>54</v>
      </c>
      <c r="X277" s="1" t="s">
        <v>55</v>
      </c>
      <c r="Y277" s="1" t="s">
        <v>251</v>
      </c>
      <c r="AA277" s="14">
        <v>32143</v>
      </c>
      <c r="AH277" s="1">
        <v>96</v>
      </c>
      <c r="AI277" s="1">
        <v>13.6</v>
      </c>
      <c r="AJ277" s="1">
        <v>0.18</v>
      </c>
      <c r="AK277" s="2">
        <v>3.58</v>
      </c>
      <c r="AL277" s="1">
        <v>101</v>
      </c>
      <c r="AM277" s="3">
        <v>44</v>
      </c>
      <c r="AN277" s="1">
        <v>4</v>
      </c>
      <c r="AO277" s="3">
        <v>2</v>
      </c>
    </row>
    <row r="278" spans="1:41" x14ac:dyDescent="0.25">
      <c r="A278" s="1" t="s">
        <v>414</v>
      </c>
      <c r="C278" s="1" t="s">
        <v>387</v>
      </c>
      <c r="D278" s="1">
        <v>164.390422948831</v>
      </c>
      <c r="E278" s="1">
        <v>-71.430540349597806</v>
      </c>
      <c r="F278" s="1">
        <v>5000</v>
      </c>
      <c r="G278" s="1" t="s">
        <v>415</v>
      </c>
      <c r="H278" s="1">
        <v>945</v>
      </c>
      <c r="I278" s="1" t="s">
        <v>44</v>
      </c>
      <c r="J278" s="1" t="s">
        <v>133</v>
      </c>
      <c r="M278" s="1" t="s">
        <v>134</v>
      </c>
      <c r="N278" s="1" t="s">
        <v>115</v>
      </c>
      <c r="O278" s="1" t="s">
        <v>306</v>
      </c>
      <c r="P278" s="1" t="s">
        <v>404</v>
      </c>
      <c r="S278" s="1">
        <v>54138</v>
      </c>
      <c r="T278" s="1" t="s">
        <v>52</v>
      </c>
      <c r="V278" s="1" t="s">
        <v>53</v>
      </c>
      <c r="W278" s="1" t="s">
        <v>54</v>
      </c>
      <c r="X278" s="1" t="s">
        <v>55</v>
      </c>
      <c r="Y278" s="1" t="s">
        <v>251</v>
      </c>
      <c r="AA278" s="14">
        <v>32143</v>
      </c>
      <c r="AH278" s="1">
        <v>70</v>
      </c>
      <c r="AM278" s="3">
        <v>49</v>
      </c>
      <c r="AN278" s="1">
        <v>10</v>
      </c>
      <c r="AO278" s="3">
        <v>5</v>
      </c>
    </row>
    <row r="279" spans="1:41" x14ac:dyDescent="0.25">
      <c r="A279" s="1" t="s">
        <v>416</v>
      </c>
      <c r="C279" s="1" t="s">
        <v>387</v>
      </c>
      <c r="D279" s="1">
        <v>164.64040368511201</v>
      </c>
      <c r="E279" s="1">
        <v>-71.110556470351199</v>
      </c>
      <c r="F279" s="1">
        <v>5000</v>
      </c>
      <c r="G279" s="1" t="s">
        <v>417</v>
      </c>
      <c r="H279" s="1">
        <v>690</v>
      </c>
      <c r="I279" s="1" t="s">
        <v>44</v>
      </c>
      <c r="J279" s="1" t="s">
        <v>133</v>
      </c>
      <c r="M279" s="1" t="s">
        <v>134</v>
      </c>
      <c r="N279" s="1" t="s">
        <v>115</v>
      </c>
      <c r="O279" s="1" t="s">
        <v>306</v>
      </c>
      <c r="P279" s="1" t="s">
        <v>404</v>
      </c>
      <c r="S279" s="1">
        <v>54139</v>
      </c>
      <c r="T279" s="1" t="s">
        <v>52</v>
      </c>
      <c r="V279" s="1" t="s">
        <v>53</v>
      </c>
      <c r="W279" s="1" t="s">
        <v>54</v>
      </c>
      <c r="X279" s="1" t="s">
        <v>55</v>
      </c>
      <c r="Y279" s="1" t="s">
        <v>251</v>
      </c>
      <c r="AA279" s="14">
        <v>32143</v>
      </c>
      <c r="AH279" s="1">
        <v>8</v>
      </c>
      <c r="AI279" s="1">
        <v>14.25</v>
      </c>
      <c r="AJ279" s="1">
        <v>0.14000000000000001</v>
      </c>
      <c r="AK279" s="2">
        <v>2.76</v>
      </c>
      <c r="AL279" s="1">
        <v>100</v>
      </c>
      <c r="AM279" s="3">
        <v>37</v>
      </c>
      <c r="AN279" s="1">
        <v>4</v>
      </c>
      <c r="AO279" s="3">
        <v>2</v>
      </c>
    </row>
    <row r="280" spans="1:41" x14ac:dyDescent="0.25">
      <c r="A280" s="1" t="s">
        <v>418</v>
      </c>
      <c r="C280" s="1" t="s">
        <v>387</v>
      </c>
      <c r="D280" s="1">
        <v>165.23038753199</v>
      </c>
      <c r="E280" s="1">
        <v>-71.120553646770901</v>
      </c>
      <c r="F280" s="1">
        <v>5000</v>
      </c>
      <c r="G280" s="1" t="s">
        <v>419</v>
      </c>
      <c r="H280" s="1">
        <v>1160</v>
      </c>
      <c r="I280" s="1" t="s">
        <v>44</v>
      </c>
      <c r="J280" s="1" t="s">
        <v>133</v>
      </c>
      <c r="M280" s="1" t="s">
        <v>134</v>
      </c>
      <c r="N280" s="1" t="s">
        <v>115</v>
      </c>
      <c r="O280" s="1" t="s">
        <v>306</v>
      </c>
      <c r="P280" s="1" t="s">
        <v>404</v>
      </c>
      <c r="S280" s="1">
        <v>54140</v>
      </c>
      <c r="T280" s="1" t="s">
        <v>52</v>
      </c>
      <c r="V280" s="1" t="s">
        <v>53</v>
      </c>
      <c r="W280" s="1" t="s">
        <v>54</v>
      </c>
      <c r="X280" s="1" t="s">
        <v>55</v>
      </c>
      <c r="Y280" s="1" t="s">
        <v>251</v>
      </c>
      <c r="AA280" s="14">
        <v>32143</v>
      </c>
      <c r="AH280" s="1">
        <v>25</v>
      </c>
      <c r="AI280" s="1">
        <v>14.44</v>
      </c>
      <c r="AJ280" s="1">
        <v>0.15</v>
      </c>
      <c r="AK280" s="2">
        <v>2.96</v>
      </c>
      <c r="AL280" s="1">
        <v>100</v>
      </c>
      <c r="AM280" s="3">
        <v>44</v>
      </c>
      <c r="AN280" s="1">
        <v>4</v>
      </c>
      <c r="AO280" s="3">
        <v>2</v>
      </c>
    </row>
    <row r="281" spans="1:41" x14ac:dyDescent="0.25">
      <c r="A281" s="1" t="s">
        <v>420</v>
      </c>
      <c r="C281" s="1" t="s">
        <v>387</v>
      </c>
      <c r="D281" s="1">
        <v>166.58044772518201</v>
      </c>
      <c r="E281" s="1">
        <v>-73.5904149577879</v>
      </c>
      <c r="F281" s="1">
        <v>5000</v>
      </c>
      <c r="G281" s="1" t="s">
        <v>421</v>
      </c>
      <c r="H281" s="1">
        <v>5</v>
      </c>
      <c r="I281" s="1" t="s">
        <v>44</v>
      </c>
      <c r="J281" s="1" t="s">
        <v>133</v>
      </c>
      <c r="M281" s="1" t="s">
        <v>134</v>
      </c>
      <c r="N281" s="1" t="s">
        <v>115</v>
      </c>
      <c r="O281" s="1" t="s">
        <v>306</v>
      </c>
      <c r="P281" s="1" t="s">
        <v>404</v>
      </c>
      <c r="S281" s="1">
        <v>54141</v>
      </c>
      <c r="T281" s="1" t="s">
        <v>52</v>
      </c>
      <c r="V281" s="1" t="s">
        <v>53</v>
      </c>
      <c r="W281" s="1" t="s">
        <v>54</v>
      </c>
      <c r="X281" s="1" t="s">
        <v>55</v>
      </c>
      <c r="Y281" s="1" t="s">
        <v>251</v>
      </c>
      <c r="AA281" s="14">
        <v>32143</v>
      </c>
      <c r="AH281" s="1">
        <v>93</v>
      </c>
      <c r="AI281" s="1">
        <v>14.59</v>
      </c>
      <c r="AJ281" s="1">
        <v>0.17</v>
      </c>
      <c r="AK281" s="2">
        <v>3.32</v>
      </c>
      <c r="AL281" s="1">
        <v>96</v>
      </c>
      <c r="AM281" s="3">
        <v>27</v>
      </c>
      <c r="AN281" s="1">
        <v>6</v>
      </c>
      <c r="AO281" s="3">
        <v>3</v>
      </c>
    </row>
    <row r="282" spans="1:41" x14ac:dyDescent="0.25">
      <c r="A282" s="1" t="s">
        <v>422</v>
      </c>
      <c r="C282" s="1" t="s">
        <v>387</v>
      </c>
      <c r="D282" s="1">
        <v>166.52044647906601</v>
      </c>
      <c r="E282" s="1">
        <v>-73.520419011275294</v>
      </c>
      <c r="F282" s="1">
        <v>5000</v>
      </c>
      <c r="G282" s="1" t="s">
        <v>421</v>
      </c>
      <c r="H282" s="1">
        <v>1345</v>
      </c>
      <c r="I282" s="1" t="s">
        <v>44</v>
      </c>
      <c r="J282" s="1" t="s">
        <v>133</v>
      </c>
      <c r="M282" s="1" t="s">
        <v>134</v>
      </c>
      <c r="N282" s="1" t="s">
        <v>115</v>
      </c>
      <c r="O282" s="1" t="s">
        <v>306</v>
      </c>
      <c r="P282" s="1" t="s">
        <v>404</v>
      </c>
      <c r="S282" s="1">
        <v>54142</v>
      </c>
      <c r="T282" s="1" t="s">
        <v>52</v>
      </c>
      <c r="U282" s="1" t="s">
        <v>423</v>
      </c>
      <c r="V282" s="1" t="s">
        <v>53</v>
      </c>
      <c r="W282" s="1" t="s">
        <v>54</v>
      </c>
      <c r="X282" s="1" t="s">
        <v>55</v>
      </c>
      <c r="Y282" s="1" t="s">
        <v>251</v>
      </c>
      <c r="AA282" s="14">
        <v>32143</v>
      </c>
      <c r="AH282" s="1">
        <v>67</v>
      </c>
      <c r="AI282" s="1">
        <v>14.68</v>
      </c>
      <c r="AJ282" s="1">
        <v>0.11</v>
      </c>
      <c r="AK282" s="2">
        <v>2.2999999999999998</v>
      </c>
      <c r="AL282" s="1">
        <v>100</v>
      </c>
      <c r="AM282" s="3">
        <v>27</v>
      </c>
      <c r="AN282" s="1">
        <v>2</v>
      </c>
      <c r="AO282" s="3">
        <v>1</v>
      </c>
    </row>
    <row r="283" spans="1:41" x14ac:dyDescent="0.25">
      <c r="A283" s="1" t="s">
        <v>422</v>
      </c>
      <c r="C283" s="1" t="s">
        <v>387</v>
      </c>
      <c r="D283" s="1">
        <v>166.52044647906601</v>
      </c>
      <c r="E283" s="1">
        <v>-73.520419011275294</v>
      </c>
      <c r="F283" s="1">
        <v>5000</v>
      </c>
      <c r="G283" s="1" t="s">
        <v>421</v>
      </c>
      <c r="H283" s="1">
        <v>1345</v>
      </c>
      <c r="I283" s="1" t="s">
        <v>44</v>
      </c>
      <c r="J283" s="1" t="s">
        <v>133</v>
      </c>
      <c r="M283" s="1" t="s">
        <v>134</v>
      </c>
      <c r="N283" s="1" t="s">
        <v>115</v>
      </c>
      <c r="O283" s="1" t="s">
        <v>306</v>
      </c>
      <c r="P283" s="1" t="s">
        <v>404</v>
      </c>
      <c r="S283" s="1">
        <v>54143</v>
      </c>
      <c r="T283" s="1" t="s">
        <v>52</v>
      </c>
      <c r="U283" s="1" t="s">
        <v>424</v>
      </c>
      <c r="V283" s="1" t="s">
        <v>53</v>
      </c>
      <c r="W283" s="1" t="s">
        <v>54</v>
      </c>
      <c r="X283" s="1" t="s">
        <v>55</v>
      </c>
      <c r="Y283" s="1" t="s">
        <v>251</v>
      </c>
      <c r="AA283" s="14">
        <v>32143</v>
      </c>
      <c r="AH283" s="1">
        <v>30</v>
      </c>
      <c r="AM283" s="3">
        <v>25</v>
      </c>
      <c r="AN283" s="1">
        <v>4</v>
      </c>
      <c r="AO283" s="3">
        <v>2</v>
      </c>
    </row>
    <row r="284" spans="1:41" x14ac:dyDescent="0.25">
      <c r="A284" s="1" t="s">
        <v>425</v>
      </c>
      <c r="C284" s="1" t="s">
        <v>387</v>
      </c>
      <c r="D284" s="1">
        <v>166.39044840068701</v>
      </c>
      <c r="E284" s="1">
        <v>-73.470422225371706</v>
      </c>
      <c r="F284" s="1">
        <v>5000</v>
      </c>
      <c r="G284" s="1" t="s">
        <v>421</v>
      </c>
      <c r="H284" s="1">
        <v>1690</v>
      </c>
      <c r="I284" s="1" t="s">
        <v>44</v>
      </c>
      <c r="J284" s="1" t="s">
        <v>133</v>
      </c>
      <c r="M284" s="1" t="s">
        <v>134</v>
      </c>
      <c r="N284" s="1" t="s">
        <v>115</v>
      </c>
      <c r="O284" s="1" t="s">
        <v>306</v>
      </c>
      <c r="P284" s="1" t="s">
        <v>404</v>
      </c>
      <c r="S284" s="1">
        <v>54144</v>
      </c>
      <c r="T284" s="1" t="s">
        <v>52</v>
      </c>
      <c r="U284" s="1" t="s">
        <v>423</v>
      </c>
      <c r="V284" s="1" t="s">
        <v>53</v>
      </c>
      <c r="W284" s="1" t="s">
        <v>54</v>
      </c>
      <c r="X284" s="1" t="s">
        <v>55</v>
      </c>
      <c r="Y284" s="1" t="s">
        <v>251</v>
      </c>
      <c r="AA284" s="14">
        <v>32143</v>
      </c>
      <c r="AH284" s="1">
        <v>48</v>
      </c>
      <c r="AI284" s="1">
        <v>14.49</v>
      </c>
      <c r="AJ284" s="1">
        <v>0.16</v>
      </c>
      <c r="AK284" s="2">
        <v>3.02</v>
      </c>
      <c r="AL284" s="1">
        <v>84</v>
      </c>
      <c r="AM284" s="3">
        <v>27</v>
      </c>
      <c r="AN284" s="1">
        <v>4</v>
      </c>
      <c r="AO284" s="3">
        <v>2</v>
      </c>
    </row>
    <row r="285" spans="1:41" x14ac:dyDescent="0.25">
      <c r="A285" s="1" t="s">
        <v>425</v>
      </c>
      <c r="C285" s="1" t="s">
        <v>387</v>
      </c>
      <c r="D285" s="1">
        <v>166.39044840068701</v>
      </c>
      <c r="E285" s="1">
        <v>-73.470422225371706</v>
      </c>
      <c r="F285" s="1">
        <v>5000</v>
      </c>
      <c r="G285" s="1" t="s">
        <v>421</v>
      </c>
      <c r="H285" s="1">
        <v>1690</v>
      </c>
      <c r="I285" s="1" t="s">
        <v>44</v>
      </c>
      <c r="J285" s="1" t="s">
        <v>133</v>
      </c>
      <c r="M285" s="1" t="s">
        <v>134</v>
      </c>
      <c r="N285" s="1" t="s">
        <v>115</v>
      </c>
      <c r="O285" s="1" t="s">
        <v>306</v>
      </c>
      <c r="P285" s="1" t="s">
        <v>404</v>
      </c>
      <c r="S285" s="1">
        <v>54145</v>
      </c>
      <c r="T285" s="1" t="s">
        <v>52</v>
      </c>
      <c r="U285" s="1" t="s">
        <v>424</v>
      </c>
      <c r="V285" s="1" t="s">
        <v>53</v>
      </c>
      <c r="W285" s="1" t="s">
        <v>54</v>
      </c>
      <c r="X285" s="1" t="s">
        <v>55</v>
      </c>
      <c r="Y285" s="1" t="s">
        <v>251</v>
      </c>
      <c r="AA285" s="14">
        <v>32143</v>
      </c>
      <c r="AH285" s="1">
        <v>51</v>
      </c>
      <c r="AM285" s="3">
        <v>31</v>
      </c>
      <c r="AN285" s="1">
        <v>4</v>
      </c>
      <c r="AO285" s="3">
        <v>2</v>
      </c>
    </row>
    <row r="286" spans="1:41" x14ac:dyDescent="0.25">
      <c r="A286" s="1" t="s">
        <v>426</v>
      </c>
      <c r="C286" s="1" t="s">
        <v>387</v>
      </c>
      <c r="D286" s="1">
        <v>166.350448779533</v>
      </c>
      <c r="E286" s="1">
        <v>-73.450423467110298</v>
      </c>
      <c r="F286" s="1">
        <v>5000</v>
      </c>
      <c r="G286" s="1" t="s">
        <v>421</v>
      </c>
      <c r="H286" s="1">
        <v>2715</v>
      </c>
      <c r="I286" s="1" t="s">
        <v>44</v>
      </c>
      <c r="J286" s="1" t="s">
        <v>133</v>
      </c>
      <c r="M286" s="1" t="s">
        <v>134</v>
      </c>
      <c r="N286" s="1" t="s">
        <v>115</v>
      </c>
      <c r="O286" s="1" t="s">
        <v>306</v>
      </c>
      <c r="P286" s="1" t="s">
        <v>404</v>
      </c>
      <c r="S286" s="1">
        <v>54146</v>
      </c>
      <c r="T286" s="1" t="s">
        <v>52</v>
      </c>
      <c r="U286" s="1" t="s">
        <v>423</v>
      </c>
      <c r="V286" s="1" t="s">
        <v>53</v>
      </c>
      <c r="W286" s="1" t="s">
        <v>54</v>
      </c>
      <c r="X286" s="1" t="s">
        <v>55</v>
      </c>
      <c r="Y286" s="1" t="s">
        <v>251</v>
      </c>
      <c r="AA286" s="14">
        <v>32143</v>
      </c>
      <c r="AH286" s="1">
        <v>34</v>
      </c>
      <c r="AI286" s="1">
        <v>14.54</v>
      </c>
      <c r="AJ286" s="1">
        <v>0.18</v>
      </c>
      <c r="AK286" s="2">
        <v>2.42</v>
      </c>
      <c r="AL286" s="1">
        <v>47</v>
      </c>
      <c r="AM286" s="3">
        <v>35</v>
      </c>
      <c r="AN286" s="1">
        <v>8</v>
      </c>
      <c r="AO286" s="3">
        <v>4</v>
      </c>
    </row>
    <row r="287" spans="1:41" x14ac:dyDescent="0.25">
      <c r="A287" s="1" t="s">
        <v>426</v>
      </c>
      <c r="C287" s="1" t="s">
        <v>387</v>
      </c>
      <c r="D287" s="1">
        <v>166.350448779533</v>
      </c>
      <c r="E287" s="1">
        <v>-73.450423467110298</v>
      </c>
      <c r="F287" s="1">
        <v>5000</v>
      </c>
      <c r="G287" s="1" t="s">
        <v>421</v>
      </c>
      <c r="H287" s="1">
        <v>2715</v>
      </c>
      <c r="I287" s="1" t="s">
        <v>44</v>
      </c>
      <c r="J287" s="1" t="s">
        <v>133</v>
      </c>
      <c r="M287" s="1" t="s">
        <v>134</v>
      </c>
      <c r="N287" s="1" t="s">
        <v>115</v>
      </c>
      <c r="O287" s="1" t="s">
        <v>306</v>
      </c>
      <c r="P287" s="1" t="s">
        <v>404</v>
      </c>
      <c r="S287" s="1">
        <v>54147</v>
      </c>
      <c r="T287" s="1" t="s">
        <v>52</v>
      </c>
      <c r="U287" s="1" t="s">
        <v>424</v>
      </c>
      <c r="V287" s="1" t="s">
        <v>53</v>
      </c>
      <c r="W287" s="1" t="s">
        <v>54</v>
      </c>
      <c r="X287" s="1" t="s">
        <v>55</v>
      </c>
      <c r="Y287" s="1" t="s">
        <v>251</v>
      </c>
      <c r="AA287" s="14">
        <v>32143</v>
      </c>
      <c r="AH287" s="1">
        <v>33</v>
      </c>
      <c r="AM287" s="3">
        <v>36</v>
      </c>
      <c r="AN287" s="1">
        <v>8</v>
      </c>
      <c r="AO287" s="3">
        <v>4</v>
      </c>
    </row>
    <row r="288" spans="1:41" x14ac:dyDescent="0.25">
      <c r="A288" s="1" t="s">
        <v>427</v>
      </c>
      <c r="C288" s="1" t="s">
        <v>387</v>
      </c>
      <c r="D288" s="1">
        <v>166.33044806257499</v>
      </c>
      <c r="E288" s="1">
        <v>-73.420425182122102</v>
      </c>
      <c r="F288" s="1">
        <v>5000</v>
      </c>
      <c r="G288" s="1" t="s">
        <v>421</v>
      </c>
      <c r="H288" s="1">
        <v>3385</v>
      </c>
      <c r="I288" s="1" t="s">
        <v>44</v>
      </c>
      <c r="J288" s="1" t="s">
        <v>133</v>
      </c>
      <c r="M288" s="1" t="s">
        <v>134</v>
      </c>
      <c r="N288" s="1" t="s">
        <v>115</v>
      </c>
      <c r="O288" s="1" t="s">
        <v>306</v>
      </c>
      <c r="P288" s="1" t="s">
        <v>404</v>
      </c>
      <c r="S288" s="1">
        <v>54148</v>
      </c>
      <c r="T288" s="1" t="s">
        <v>52</v>
      </c>
      <c r="U288" s="1" t="s">
        <v>423</v>
      </c>
      <c r="V288" s="1" t="s">
        <v>53</v>
      </c>
      <c r="W288" s="1" t="s">
        <v>54</v>
      </c>
      <c r="X288" s="1" t="s">
        <v>55</v>
      </c>
      <c r="Y288" s="1" t="s">
        <v>251</v>
      </c>
      <c r="AA288" s="14">
        <v>32143</v>
      </c>
      <c r="AH288" s="1">
        <v>30</v>
      </c>
      <c r="AI288" s="1">
        <v>14.49</v>
      </c>
      <c r="AJ288" s="1">
        <v>0.16</v>
      </c>
      <c r="AK288" s="2">
        <v>3.26</v>
      </c>
      <c r="AL288" s="1">
        <v>100</v>
      </c>
      <c r="AM288" s="3">
        <v>30</v>
      </c>
      <c r="AN288" s="1">
        <v>4</v>
      </c>
      <c r="AO288" s="3">
        <v>2</v>
      </c>
    </row>
    <row r="289" spans="1:41" x14ac:dyDescent="0.25">
      <c r="A289" s="1" t="s">
        <v>427</v>
      </c>
      <c r="C289" s="1" t="s">
        <v>387</v>
      </c>
      <c r="D289" s="1">
        <v>166.33044806257499</v>
      </c>
      <c r="E289" s="1">
        <v>-73.420425182122102</v>
      </c>
      <c r="F289" s="1">
        <v>5000</v>
      </c>
      <c r="G289" s="1" t="s">
        <v>421</v>
      </c>
      <c r="H289" s="1">
        <v>3385</v>
      </c>
      <c r="I289" s="1" t="s">
        <v>44</v>
      </c>
      <c r="J289" s="1" t="s">
        <v>133</v>
      </c>
      <c r="M289" s="1" t="s">
        <v>134</v>
      </c>
      <c r="N289" s="1" t="s">
        <v>115</v>
      </c>
      <c r="O289" s="1" t="s">
        <v>306</v>
      </c>
      <c r="P289" s="1" t="s">
        <v>404</v>
      </c>
      <c r="S289" s="1">
        <v>54149</v>
      </c>
      <c r="T289" s="1" t="s">
        <v>52</v>
      </c>
      <c r="U289" s="1" t="s">
        <v>424</v>
      </c>
      <c r="V289" s="1" t="s">
        <v>53</v>
      </c>
      <c r="W289" s="1" t="s">
        <v>54</v>
      </c>
      <c r="X289" s="1" t="s">
        <v>55</v>
      </c>
      <c r="Y289" s="1" t="s">
        <v>251</v>
      </c>
      <c r="AA289" s="14">
        <v>32143</v>
      </c>
      <c r="AH289" s="1">
        <v>8</v>
      </c>
      <c r="AM289" s="3">
        <v>29</v>
      </c>
      <c r="AN289" s="1">
        <v>4</v>
      </c>
      <c r="AO289" s="3">
        <v>2</v>
      </c>
    </row>
    <row r="290" spans="1:41" x14ac:dyDescent="0.25">
      <c r="A290" s="1" t="s">
        <v>428</v>
      </c>
      <c r="C290" s="1" t="s">
        <v>53</v>
      </c>
      <c r="D290" s="1">
        <v>168.50031646461099</v>
      </c>
      <c r="E290" s="1">
        <v>-71.780506533171305</v>
      </c>
      <c r="F290" s="1">
        <v>2000</v>
      </c>
      <c r="G290" s="1" t="s">
        <v>429</v>
      </c>
      <c r="H290" s="1">
        <v>3445</v>
      </c>
      <c r="I290" s="1" t="s">
        <v>44</v>
      </c>
      <c r="J290" s="1" t="s">
        <v>153</v>
      </c>
      <c r="L290" s="1" t="s">
        <v>112</v>
      </c>
      <c r="M290" s="1" t="s">
        <v>134</v>
      </c>
      <c r="N290" s="1" t="s">
        <v>115</v>
      </c>
      <c r="O290" s="1" t="s">
        <v>115</v>
      </c>
      <c r="P290" s="1" t="s">
        <v>154</v>
      </c>
      <c r="S290" s="1">
        <v>54150</v>
      </c>
      <c r="T290" s="1" t="s">
        <v>52</v>
      </c>
      <c r="V290" s="1" t="s">
        <v>53</v>
      </c>
      <c r="W290" s="1" t="s">
        <v>54</v>
      </c>
      <c r="X290" s="1" t="s">
        <v>55</v>
      </c>
      <c r="Y290" s="1" t="s">
        <v>251</v>
      </c>
      <c r="AA290" s="14">
        <v>32143</v>
      </c>
      <c r="AH290" s="1">
        <v>46</v>
      </c>
      <c r="AI290" s="1">
        <v>12.27</v>
      </c>
      <c r="AJ290" s="1">
        <v>0.32</v>
      </c>
      <c r="AK290" s="2">
        <v>7.4</v>
      </c>
      <c r="AL290" s="1">
        <v>138</v>
      </c>
      <c r="AM290" s="3">
        <v>125</v>
      </c>
      <c r="AN290" s="1">
        <v>12</v>
      </c>
      <c r="AO290" s="3">
        <v>6</v>
      </c>
    </row>
    <row r="291" spans="1:41" x14ac:dyDescent="0.25">
      <c r="A291" s="1" t="s">
        <v>430</v>
      </c>
      <c r="C291" s="1" t="s">
        <v>53</v>
      </c>
      <c r="D291" s="1">
        <v>168.44031876052199</v>
      </c>
      <c r="E291" s="1">
        <v>-71.795505927130307</v>
      </c>
      <c r="F291" s="1">
        <v>2000</v>
      </c>
      <c r="G291" s="1" t="s">
        <v>431</v>
      </c>
      <c r="H291" s="1">
        <v>3650</v>
      </c>
      <c r="I291" s="1" t="s">
        <v>44</v>
      </c>
      <c r="J291" s="1" t="s">
        <v>153</v>
      </c>
      <c r="L291" s="1" t="s">
        <v>112</v>
      </c>
      <c r="M291" s="1" t="s">
        <v>134</v>
      </c>
      <c r="N291" s="1" t="s">
        <v>115</v>
      </c>
      <c r="O291" s="1" t="s">
        <v>115</v>
      </c>
      <c r="P291" s="1" t="s">
        <v>154</v>
      </c>
      <c r="S291" s="1">
        <v>54151</v>
      </c>
      <c r="T291" s="1" t="s">
        <v>52</v>
      </c>
      <c r="U291" s="1" t="s">
        <v>423</v>
      </c>
      <c r="V291" s="1" t="s">
        <v>53</v>
      </c>
      <c r="W291" s="1" t="s">
        <v>54</v>
      </c>
      <c r="X291" s="1" t="s">
        <v>55</v>
      </c>
      <c r="Y291" s="1" t="s">
        <v>251</v>
      </c>
      <c r="AA291" s="14">
        <v>32143</v>
      </c>
      <c r="AH291" s="1">
        <v>81</v>
      </c>
      <c r="AI291" s="1">
        <v>12.71</v>
      </c>
      <c r="AJ291" s="1">
        <v>0.28999999999999998</v>
      </c>
      <c r="AK291" s="2">
        <v>5.88</v>
      </c>
      <c r="AL291" s="1">
        <v>100</v>
      </c>
      <c r="AM291" s="3">
        <v>106</v>
      </c>
      <c r="AN291" s="1">
        <v>18</v>
      </c>
      <c r="AO291" s="3">
        <v>9</v>
      </c>
    </row>
    <row r="292" spans="1:41" x14ac:dyDescent="0.25">
      <c r="A292" s="1" t="s">
        <v>430</v>
      </c>
      <c r="C292" s="1" t="s">
        <v>53</v>
      </c>
      <c r="D292" s="1">
        <v>168.44031876052199</v>
      </c>
      <c r="E292" s="1">
        <v>-71.795505927130307</v>
      </c>
      <c r="F292" s="1">
        <v>2000</v>
      </c>
      <c r="G292" s="1" t="s">
        <v>431</v>
      </c>
      <c r="H292" s="1">
        <v>3650</v>
      </c>
      <c r="I292" s="1" t="s">
        <v>44</v>
      </c>
      <c r="J292" s="1" t="s">
        <v>153</v>
      </c>
      <c r="L292" s="1" t="s">
        <v>112</v>
      </c>
      <c r="M292" s="1" t="s">
        <v>134</v>
      </c>
      <c r="N292" s="1" t="s">
        <v>115</v>
      </c>
      <c r="O292" s="1" t="s">
        <v>115</v>
      </c>
      <c r="P292" s="1" t="s">
        <v>154</v>
      </c>
      <c r="S292" s="1">
        <v>54152</v>
      </c>
      <c r="T292" s="1" t="s">
        <v>52</v>
      </c>
      <c r="U292" s="1" t="s">
        <v>424</v>
      </c>
      <c r="V292" s="1" t="s">
        <v>53</v>
      </c>
      <c r="W292" s="1" t="s">
        <v>54</v>
      </c>
      <c r="X292" s="1" t="s">
        <v>55</v>
      </c>
      <c r="Y292" s="1" t="s">
        <v>251</v>
      </c>
      <c r="AA292" s="14">
        <v>32143</v>
      </c>
      <c r="AH292" s="1">
        <v>23</v>
      </c>
      <c r="AM292" s="3">
        <v>99</v>
      </c>
      <c r="AN292" s="1">
        <v>18</v>
      </c>
      <c r="AO292" s="3">
        <v>9</v>
      </c>
    </row>
    <row r="293" spans="1:41" x14ac:dyDescent="0.25">
      <c r="A293" s="1" t="s">
        <v>432</v>
      </c>
      <c r="C293" s="1" t="s">
        <v>53</v>
      </c>
      <c r="D293" s="1">
        <v>168.380321749541</v>
      </c>
      <c r="E293" s="1">
        <v>-71.830504245155595</v>
      </c>
      <c r="F293" s="1">
        <v>2000</v>
      </c>
      <c r="G293" s="1" t="s">
        <v>429</v>
      </c>
      <c r="H293" s="1">
        <v>2200</v>
      </c>
      <c r="I293" s="1" t="s">
        <v>44</v>
      </c>
      <c r="J293" s="1" t="s">
        <v>153</v>
      </c>
      <c r="L293" s="1" t="s">
        <v>112</v>
      </c>
      <c r="M293" s="1" t="s">
        <v>134</v>
      </c>
      <c r="N293" s="1" t="s">
        <v>115</v>
      </c>
      <c r="O293" s="1" t="s">
        <v>115</v>
      </c>
      <c r="P293" s="1" t="s">
        <v>154</v>
      </c>
      <c r="S293" s="1">
        <v>54153</v>
      </c>
      <c r="T293" s="1" t="s">
        <v>52</v>
      </c>
      <c r="V293" s="1" t="s">
        <v>53</v>
      </c>
      <c r="W293" s="1" t="s">
        <v>54</v>
      </c>
      <c r="X293" s="1" t="s">
        <v>55</v>
      </c>
      <c r="Y293" s="1" t="s">
        <v>251</v>
      </c>
      <c r="AA293" s="14">
        <v>32143</v>
      </c>
      <c r="AH293" s="1">
        <v>70</v>
      </c>
      <c r="AI293" s="1">
        <v>12.64</v>
      </c>
      <c r="AJ293" s="1">
        <v>0.24</v>
      </c>
      <c r="AK293" s="2">
        <v>4.72</v>
      </c>
      <c r="AL293" s="1">
        <v>100</v>
      </c>
      <c r="AM293" s="3">
        <v>76</v>
      </c>
      <c r="AN293" s="1">
        <v>12</v>
      </c>
      <c r="AO293" s="3">
        <v>6</v>
      </c>
    </row>
    <row r="294" spans="1:41" x14ac:dyDescent="0.25">
      <c r="A294" s="1" t="s">
        <v>433</v>
      </c>
      <c r="C294" s="1" t="s">
        <v>387</v>
      </c>
      <c r="D294" s="1">
        <v>164.73044761529499</v>
      </c>
      <c r="E294" s="1">
        <v>-72.280493269967906</v>
      </c>
      <c r="F294" s="1">
        <v>5000</v>
      </c>
      <c r="G294" s="1" t="s">
        <v>434</v>
      </c>
      <c r="H294" s="1">
        <v>2370</v>
      </c>
      <c r="I294" s="1" t="s">
        <v>44</v>
      </c>
      <c r="J294" s="1" t="s">
        <v>133</v>
      </c>
      <c r="M294" s="1" t="s">
        <v>134</v>
      </c>
      <c r="N294" s="1" t="s">
        <v>115</v>
      </c>
      <c r="O294" s="1" t="s">
        <v>306</v>
      </c>
      <c r="P294" s="1" t="s">
        <v>404</v>
      </c>
      <c r="S294" s="1">
        <v>54154</v>
      </c>
      <c r="T294" s="1" t="s">
        <v>52</v>
      </c>
      <c r="V294" s="1" t="s">
        <v>53</v>
      </c>
      <c r="W294" s="1" t="s">
        <v>54</v>
      </c>
      <c r="X294" s="1" t="s">
        <v>55</v>
      </c>
      <c r="Y294" s="1" t="s">
        <v>251</v>
      </c>
      <c r="AA294" s="14">
        <v>32143</v>
      </c>
      <c r="AH294" s="1">
        <v>97</v>
      </c>
      <c r="AI294" s="1">
        <v>12.88</v>
      </c>
      <c r="AJ294" s="1">
        <v>0.2</v>
      </c>
      <c r="AK294" s="2">
        <v>3.96</v>
      </c>
      <c r="AL294" s="1">
        <v>102</v>
      </c>
      <c r="AM294" s="3">
        <v>81</v>
      </c>
      <c r="AN294" s="1">
        <v>14</v>
      </c>
      <c r="AO294" s="3">
        <v>7</v>
      </c>
    </row>
    <row r="295" spans="1:41" x14ac:dyDescent="0.25">
      <c r="A295" s="1" t="s">
        <v>435</v>
      </c>
      <c r="C295" s="1" t="s">
        <v>387</v>
      </c>
      <c r="D295" s="1">
        <v>161.91057854411801</v>
      </c>
      <c r="E295" s="1">
        <v>-73.250452246476797</v>
      </c>
      <c r="F295" s="1">
        <v>5000</v>
      </c>
      <c r="G295" s="1" t="s">
        <v>436</v>
      </c>
      <c r="H295" s="1">
        <v>2085</v>
      </c>
      <c r="I295" s="1" t="s">
        <v>44</v>
      </c>
      <c r="J295" s="1" t="s">
        <v>133</v>
      </c>
      <c r="M295" s="1" t="s">
        <v>134</v>
      </c>
      <c r="N295" s="1" t="s">
        <v>115</v>
      </c>
      <c r="O295" s="1" t="s">
        <v>306</v>
      </c>
      <c r="P295" s="1" t="s">
        <v>404</v>
      </c>
      <c r="S295" s="1">
        <v>54155</v>
      </c>
      <c r="T295" s="1" t="s">
        <v>52</v>
      </c>
      <c r="U295" s="1" t="s">
        <v>423</v>
      </c>
      <c r="V295" s="1" t="s">
        <v>53</v>
      </c>
      <c r="W295" s="1" t="s">
        <v>54</v>
      </c>
      <c r="X295" s="1" t="s">
        <v>55</v>
      </c>
      <c r="Y295" s="1" t="s">
        <v>251</v>
      </c>
      <c r="AA295" s="14">
        <v>32143</v>
      </c>
      <c r="AH295" s="1">
        <v>90</v>
      </c>
      <c r="AI295" s="1">
        <v>12.25</v>
      </c>
      <c r="AJ295" s="1">
        <v>0.16</v>
      </c>
      <c r="AK295" s="2">
        <v>3.14</v>
      </c>
      <c r="AL295" s="1">
        <v>100</v>
      </c>
      <c r="AM295" s="3">
        <v>304</v>
      </c>
      <c r="AN295" s="1">
        <v>22</v>
      </c>
      <c r="AO295" s="3">
        <v>11</v>
      </c>
    </row>
    <row r="296" spans="1:41" x14ac:dyDescent="0.25">
      <c r="A296" s="1" t="s">
        <v>435</v>
      </c>
      <c r="C296" s="1" t="s">
        <v>387</v>
      </c>
      <c r="D296" s="1">
        <v>161.91057854411801</v>
      </c>
      <c r="E296" s="1">
        <v>-73.250452246476797</v>
      </c>
      <c r="F296" s="1">
        <v>5000</v>
      </c>
      <c r="G296" s="1" t="s">
        <v>436</v>
      </c>
      <c r="H296" s="1">
        <v>2085</v>
      </c>
      <c r="I296" s="1" t="s">
        <v>44</v>
      </c>
      <c r="J296" s="1" t="s">
        <v>133</v>
      </c>
      <c r="M296" s="1" t="s">
        <v>134</v>
      </c>
      <c r="N296" s="1" t="s">
        <v>115</v>
      </c>
      <c r="O296" s="1" t="s">
        <v>306</v>
      </c>
      <c r="P296" s="1" t="s">
        <v>404</v>
      </c>
      <c r="S296" s="1">
        <v>54156</v>
      </c>
      <c r="T296" s="1" t="s">
        <v>52</v>
      </c>
      <c r="U296" s="1" t="s">
        <v>424</v>
      </c>
      <c r="V296" s="1" t="s">
        <v>53</v>
      </c>
      <c r="W296" s="1" t="s">
        <v>54</v>
      </c>
      <c r="X296" s="1" t="s">
        <v>55</v>
      </c>
      <c r="Y296" s="1" t="s">
        <v>251</v>
      </c>
      <c r="AA296" s="14">
        <v>32143</v>
      </c>
      <c r="AH296" s="1">
        <v>21</v>
      </c>
      <c r="AM296" s="3">
        <v>315</v>
      </c>
      <c r="AN296" s="1">
        <v>22</v>
      </c>
      <c r="AO296" s="3">
        <v>11</v>
      </c>
    </row>
    <row r="297" spans="1:41" x14ac:dyDescent="0.25">
      <c r="A297" s="1" t="s">
        <v>437</v>
      </c>
      <c r="C297" s="1" t="s">
        <v>387</v>
      </c>
      <c r="D297" s="1">
        <v>160.580587960619</v>
      </c>
      <c r="E297" s="1">
        <v>-72.660490258096601</v>
      </c>
      <c r="F297" s="1">
        <v>5000</v>
      </c>
      <c r="G297" s="1" t="s">
        <v>438</v>
      </c>
      <c r="H297" s="1">
        <v>2325</v>
      </c>
      <c r="I297" s="1" t="s">
        <v>44</v>
      </c>
      <c r="J297" s="1" t="s">
        <v>133</v>
      </c>
      <c r="M297" s="1" t="s">
        <v>134</v>
      </c>
      <c r="N297" s="1" t="s">
        <v>115</v>
      </c>
      <c r="O297" s="1" t="s">
        <v>306</v>
      </c>
      <c r="P297" s="1" t="s">
        <v>404</v>
      </c>
      <c r="S297" s="1">
        <v>54157</v>
      </c>
      <c r="T297" s="1" t="s">
        <v>52</v>
      </c>
      <c r="V297" s="1" t="s">
        <v>53</v>
      </c>
      <c r="W297" s="1" t="s">
        <v>54</v>
      </c>
      <c r="X297" s="1" t="s">
        <v>55</v>
      </c>
      <c r="Y297" s="1" t="s">
        <v>251</v>
      </c>
      <c r="AA297" s="14">
        <v>32143</v>
      </c>
      <c r="AH297" s="1">
        <v>2</v>
      </c>
      <c r="AI297" s="1">
        <v>13.18</v>
      </c>
      <c r="AJ297" s="1">
        <v>0.22</v>
      </c>
      <c r="AK297" s="2">
        <v>4.3600000000000003</v>
      </c>
      <c r="AL297" s="1">
        <v>100</v>
      </c>
      <c r="AM297" s="3">
        <v>196</v>
      </c>
      <c r="AN297" s="1">
        <v>24</v>
      </c>
      <c r="AO297" s="3">
        <v>12</v>
      </c>
    </row>
    <row r="298" spans="1:41" x14ac:dyDescent="0.25">
      <c r="A298" s="1" t="s">
        <v>439</v>
      </c>
      <c r="C298" s="1" t="s">
        <v>387</v>
      </c>
      <c r="D298" s="1">
        <v>160.160599741574</v>
      </c>
      <c r="E298" s="1">
        <v>-72.650492719754197</v>
      </c>
      <c r="F298" s="1">
        <v>5000</v>
      </c>
      <c r="G298" s="1" t="s">
        <v>440</v>
      </c>
      <c r="H298" s="1">
        <v>2731</v>
      </c>
      <c r="I298" s="1" t="s">
        <v>44</v>
      </c>
      <c r="J298" s="1" t="s">
        <v>133</v>
      </c>
      <c r="M298" s="1" t="s">
        <v>134</v>
      </c>
      <c r="N298" s="1" t="s">
        <v>115</v>
      </c>
      <c r="O298" s="1" t="s">
        <v>306</v>
      </c>
      <c r="P298" s="1" t="s">
        <v>404</v>
      </c>
      <c r="S298" s="1">
        <v>54158</v>
      </c>
      <c r="T298" s="1" t="s">
        <v>52</v>
      </c>
      <c r="V298" s="1" t="s">
        <v>53</v>
      </c>
      <c r="W298" s="1" t="s">
        <v>54</v>
      </c>
      <c r="X298" s="1" t="s">
        <v>55</v>
      </c>
      <c r="Y298" s="1" t="s">
        <v>251</v>
      </c>
      <c r="AA298" s="14">
        <v>32143</v>
      </c>
      <c r="AH298" s="1">
        <v>4</v>
      </c>
      <c r="AI298" s="1">
        <v>11.96</v>
      </c>
      <c r="AJ298" s="1">
        <v>0.22</v>
      </c>
      <c r="AK298" s="2">
        <v>4.4000000000000004</v>
      </c>
      <c r="AL298" s="1">
        <v>101</v>
      </c>
      <c r="AM298" s="3">
        <v>251</v>
      </c>
      <c r="AN298" s="1">
        <v>34</v>
      </c>
      <c r="AO298" s="3">
        <v>17</v>
      </c>
    </row>
    <row r="299" spans="1:41" x14ac:dyDescent="0.25">
      <c r="A299" s="1" t="s">
        <v>151</v>
      </c>
      <c r="C299" s="1" t="s">
        <v>53</v>
      </c>
      <c r="D299" s="1">
        <v>165.802357732551</v>
      </c>
      <c r="E299" s="1">
        <v>-70.729572300210506</v>
      </c>
      <c r="F299" s="1">
        <v>2000</v>
      </c>
      <c r="G299" s="1" t="s">
        <v>152</v>
      </c>
      <c r="H299" s="1">
        <v>145</v>
      </c>
      <c r="I299" s="1" t="s">
        <v>44</v>
      </c>
      <c r="J299" s="1" t="s">
        <v>153</v>
      </c>
      <c r="L299" s="1" t="s">
        <v>112</v>
      </c>
      <c r="M299" s="1" t="s">
        <v>134</v>
      </c>
      <c r="N299" s="1" t="s">
        <v>115</v>
      </c>
      <c r="O299" s="1" t="s">
        <v>115</v>
      </c>
      <c r="P299" s="1" t="s">
        <v>154</v>
      </c>
      <c r="S299" s="1">
        <v>54159</v>
      </c>
      <c r="T299" s="1" t="s">
        <v>52</v>
      </c>
      <c r="V299" s="1" t="s">
        <v>53</v>
      </c>
      <c r="W299" s="1" t="s">
        <v>54</v>
      </c>
      <c r="X299" s="1" t="s">
        <v>55</v>
      </c>
      <c r="Y299" s="1" t="s">
        <v>251</v>
      </c>
      <c r="AA299" s="14">
        <v>32143</v>
      </c>
      <c r="AH299" s="1">
        <v>96</v>
      </c>
      <c r="AM299" s="3">
        <v>32</v>
      </c>
      <c r="AN299" s="1">
        <v>4</v>
      </c>
      <c r="AO299" s="3">
        <v>2</v>
      </c>
    </row>
    <row r="300" spans="1:41" x14ac:dyDescent="0.25">
      <c r="A300" s="1" t="s">
        <v>155</v>
      </c>
      <c r="C300" s="1" t="s">
        <v>53</v>
      </c>
      <c r="D300" s="1">
        <v>166.56533778884599</v>
      </c>
      <c r="E300" s="1">
        <v>-70.7655675708492</v>
      </c>
      <c r="F300" s="1">
        <v>1000</v>
      </c>
      <c r="G300" s="1" t="s">
        <v>156</v>
      </c>
      <c r="H300" s="1">
        <v>25</v>
      </c>
      <c r="I300" s="1" t="s">
        <v>44</v>
      </c>
      <c r="J300" s="1" t="s">
        <v>153</v>
      </c>
      <c r="L300" s="1" t="s">
        <v>112</v>
      </c>
      <c r="M300" s="1" t="s">
        <v>134</v>
      </c>
      <c r="N300" s="1" t="s">
        <v>115</v>
      </c>
      <c r="O300" s="1" t="s">
        <v>115</v>
      </c>
      <c r="P300" s="1" t="s">
        <v>154</v>
      </c>
      <c r="S300" s="1">
        <v>54160</v>
      </c>
      <c r="T300" s="1" t="s">
        <v>52</v>
      </c>
      <c r="U300" s="1" t="s">
        <v>423</v>
      </c>
      <c r="V300" s="1" t="s">
        <v>53</v>
      </c>
      <c r="W300" s="1" t="s">
        <v>54</v>
      </c>
      <c r="X300" s="1" t="s">
        <v>55</v>
      </c>
      <c r="Y300" s="1" t="s">
        <v>251</v>
      </c>
      <c r="AA300" s="14">
        <v>32143</v>
      </c>
      <c r="AH300" s="1">
        <v>84</v>
      </c>
      <c r="AM300" s="3">
        <v>43</v>
      </c>
      <c r="AN300" s="1">
        <v>8</v>
      </c>
      <c r="AO300" s="3">
        <v>4</v>
      </c>
    </row>
    <row r="301" spans="1:41" x14ac:dyDescent="0.25">
      <c r="A301" s="1" t="s">
        <v>155</v>
      </c>
      <c r="C301" s="1" t="s">
        <v>53</v>
      </c>
      <c r="D301" s="1">
        <v>166.56533778884599</v>
      </c>
      <c r="E301" s="1">
        <v>-70.7655675708492</v>
      </c>
      <c r="F301" s="1">
        <v>1000</v>
      </c>
      <c r="G301" s="1" t="s">
        <v>156</v>
      </c>
      <c r="H301" s="1">
        <v>25</v>
      </c>
      <c r="I301" s="1" t="s">
        <v>44</v>
      </c>
      <c r="J301" s="1" t="s">
        <v>153</v>
      </c>
      <c r="L301" s="1" t="s">
        <v>112</v>
      </c>
      <c r="M301" s="1" t="s">
        <v>134</v>
      </c>
      <c r="N301" s="1" t="s">
        <v>115</v>
      </c>
      <c r="O301" s="1" t="s">
        <v>115</v>
      </c>
      <c r="P301" s="1" t="s">
        <v>154</v>
      </c>
      <c r="S301" s="1">
        <v>54161</v>
      </c>
      <c r="T301" s="1" t="s">
        <v>52</v>
      </c>
      <c r="U301" s="1" t="s">
        <v>424</v>
      </c>
      <c r="V301" s="1" t="s">
        <v>53</v>
      </c>
      <c r="W301" s="1" t="s">
        <v>54</v>
      </c>
      <c r="X301" s="1" t="s">
        <v>55</v>
      </c>
      <c r="Y301" s="1" t="s">
        <v>251</v>
      </c>
      <c r="AA301" s="14">
        <v>32143</v>
      </c>
      <c r="AH301" s="1">
        <v>4</v>
      </c>
      <c r="AM301" s="3">
        <v>42</v>
      </c>
      <c r="AN301" s="1">
        <v>10</v>
      </c>
      <c r="AO301" s="3">
        <v>5</v>
      </c>
    </row>
    <row r="302" spans="1:41" x14ac:dyDescent="0.25">
      <c r="A302" s="1" t="s">
        <v>157</v>
      </c>
      <c r="C302" s="1" t="s">
        <v>53</v>
      </c>
      <c r="D302" s="1">
        <v>166.99032663192801</v>
      </c>
      <c r="E302" s="1">
        <v>-70.7865649237268</v>
      </c>
      <c r="F302" s="1">
        <v>1000</v>
      </c>
      <c r="G302" s="1" t="s">
        <v>156</v>
      </c>
      <c r="H302" s="1">
        <v>45</v>
      </c>
      <c r="I302" s="1" t="s">
        <v>44</v>
      </c>
      <c r="J302" s="1" t="s">
        <v>153</v>
      </c>
      <c r="L302" s="1" t="s">
        <v>112</v>
      </c>
      <c r="M302" s="1" t="s">
        <v>134</v>
      </c>
      <c r="N302" s="1" t="s">
        <v>115</v>
      </c>
      <c r="O302" s="1" t="s">
        <v>115</v>
      </c>
      <c r="P302" s="1" t="s">
        <v>154</v>
      </c>
      <c r="S302" s="1">
        <v>54162</v>
      </c>
      <c r="T302" s="1" t="s">
        <v>52</v>
      </c>
      <c r="V302" s="1" t="s">
        <v>53</v>
      </c>
      <c r="W302" s="1" t="s">
        <v>54</v>
      </c>
      <c r="X302" s="1" t="s">
        <v>55</v>
      </c>
      <c r="Y302" s="1" t="s">
        <v>251</v>
      </c>
      <c r="AA302" s="14">
        <v>32143</v>
      </c>
      <c r="AH302" s="1">
        <v>1</v>
      </c>
      <c r="AI302" s="1">
        <v>14.01</v>
      </c>
      <c r="AJ302" s="1">
        <v>0.12</v>
      </c>
      <c r="AK302" s="2">
        <v>2.42</v>
      </c>
      <c r="AL302" s="1">
        <v>99</v>
      </c>
      <c r="AM302" s="3">
        <v>48</v>
      </c>
      <c r="AN302" s="1">
        <v>6</v>
      </c>
      <c r="AO302" s="3">
        <v>3</v>
      </c>
    </row>
    <row r="303" spans="1:41" x14ac:dyDescent="0.25">
      <c r="A303" s="1" t="s">
        <v>441</v>
      </c>
      <c r="C303" s="1" t="s">
        <v>53</v>
      </c>
      <c r="D303" s="1">
        <v>168.90033444648699</v>
      </c>
      <c r="E303" s="1">
        <v>-72.6304592702772</v>
      </c>
      <c r="F303" s="1">
        <v>2000</v>
      </c>
      <c r="G303" s="1" t="s">
        <v>442</v>
      </c>
      <c r="H303" s="1">
        <v>2145</v>
      </c>
      <c r="I303" s="1" t="s">
        <v>44</v>
      </c>
      <c r="J303" s="1" t="s">
        <v>153</v>
      </c>
      <c r="L303" s="1" t="s">
        <v>112</v>
      </c>
      <c r="M303" s="1" t="s">
        <v>134</v>
      </c>
      <c r="N303" s="1" t="s">
        <v>115</v>
      </c>
      <c r="O303" s="1" t="s">
        <v>115</v>
      </c>
      <c r="P303" s="1" t="s">
        <v>154</v>
      </c>
      <c r="S303" s="1">
        <v>54163</v>
      </c>
      <c r="T303" s="1" t="s">
        <v>52</v>
      </c>
      <c r="V303" s="1" t="s">
        <v>53</v>
      </c>
      <c r="W303" s="1" t="s">
        <v>54</v>
      </c>
      <c r="X303" s="1" t="s">
        <v>55</v>
      </c>
      <c r="Y303" s="1" t="s">
        <v>251</v>
      </c>
      <c r="AA303" s="14">
        <v>32143</v>
      </c>
      <c r="AH303" s="1">
        <v>49</v>
      </c>
      <c r="AI303" s="1">
        <v>14.2</v>
      </c>
      <c r="AJ303" s="1">
        <v>0.15</v>
      </c>
      <c r="AK303" s="2">
        <v>3.08</v>
      </c>
      <c r="AL303" s="1">
        <v>102</v>
      </c>
      <c r="AM303" s="3">
        <v>34</v>
      </c>
      <c r="AN303" s="1">
        <v>4</v>
      </c>
      <c r="AO303" s="3">
        <v>2</v>
      </c>
    </row>
    <row r="304" spans="1:41" x14ac:dyDescent="0.25">
      <c r="A304" s="1" t="s">
        <v>443</v>
      </c>
      <c r="C304" s="1" t="s">
        <v>53</v>
      </c>
      <c r="D304" s="1">
        <v>169.14032623055101</v>
      </c>
      <c r="E304" s="1">
        <v>-72.610459571480405</v>
      </c>
      <c r="F304" s="1">
        <v>2000</v>
      </c>
      <c r="G304" s="1" t="s">
        <v>444</v>
      </c>
      <c r="H304" s="1">
        <v>175</v>
      </c>
      <c r="I304" s="1" t="s">
        <v>44</v>
      </c>
      <c r="J304" s="1" t="s">
        <v>153</v>
      </c>
      <c r="L304" s="1" t="s">
        <v>112</v>
      </c>
      <c r="M304" s="1" t="s">
        <v>134</v>
      </c>
      <c r="N304" s="1" t="s">
        <v>115</v>
      </c>
      <c r="O304" s="1" t="s">
        <v>115</v>
      </c>
      <c r="P304" s="1" t="s">
        <v>154</v>
      </c>
      <c r="S304" s="1">
        <v>54164</v>
      </c>
      <c r="T304" s="1" t="s">
        <v>52</v>
      </c>
      <c r="V304" s="1" t="s">
        <v>53</v>
      </c>
      <c r="W304" s="1" t="s">
        <v>54</v>
      </c>
      <c r="X304" s="1" t="s">
        <v>55</v>
      </c>
      <c r="Y304" s="1" t="s">
        <v>251</v>
      </c>
      <c r="AA304" s="14">
        <v>32143</v>
      </c>
      <c r="AH304" s="1">
        <v>73</v>
      </c>
      <c r="AI304" s="1">
        <v>13.99</v>
      </c>
      <c r="AJ304" s="1">
        <v>0.15</v>
      </c>
      <c r="AK304" s="2">
        <v>2.72</v>
      </c>
      <c r="AL304" s="1">
        <v>87</v>
      </c>
      <c r="AM304" s="3">
        <v>24</v>
      </c>
      <c r="AN304" s="1">
        <v>4</v>
      </c>
      <c r="AO304" s="3">
        <v>2</v>
      </c>
    </row>
    <row r="305" spans="1:41" x14ac:dyDescent="0.25">
      <c r="A305" s="1" t="s">
        <v>445</v>
      </c>
      <c r="C305" s="1" t="s">
        <v>53</v>
      </c>
      <c r="D305" s="1">
        <v>169.24032456053601</v>
      </c>
      <c r="E305" s="1">
        <v>-72.6504570757767</v>
      </c>
      <c r="F305" s="1">
        <v>2000</v>
      </c>
      <c r="G305" s="1" t="s">
        <v>444</v>
      </c>
      <c r="H305" s="1">
        <v>1530</v>
      </c>
      <c r="I305" s="1" t="s">
        <v>44</v>
      </c>
      <c r="J305" s="1" t="s">
        <v>153</v>
      </c>
      <c r="L305" s="1" t="s">
        <v>112</v>
      </c>
      <c r="M305" s="1" t="s">
        <v>134</v>
      </c>
      <c r="N305" s="1" t="s">
        <v>115</v>
      </c>
      <c r="O305" s="1" t="s">
        <v>115</v>
      </c>
      <c r="P305" s="1" t="s">
        <v>154</v>
      </c>
      <c r="S305" s="1">
        <v>54165</v>
      </c>
      <c r="T305" s="1" t="s">
        <v>52</v>
      </c>
      <c r="V305" s="1" t="s">
        <v>53</v>
      </c>
      <c r="W305" s="1" t="s">
        <v>54</v>
      </c>
      <c r="X305" s="1" t="s">
        <v>55</v>
      </c>
      <c r="Y305" s="1" t="s">
        <v>251</v>
      </c>
      <c r="AA305" s="14">
        <v>32143</v>
      </c>
      <c r="AH305" s="1">
        <v>34</v>
      </c>
      <c r="AI305" s="1">
        <v>14.34</v>
      </c>
      <c r="AJ305" s="1">
        <v>0.16</v>
      </c>
      <c r="AK305" s="2">
        <v>3.2</v>
      </c>
      <c r="AL305" s="1">
        <v>100</v>
      </c>
      <c r="AM305" s="3">
        <v>34</v>
      </c>
      <c r="AN305" s="1">
        <v>6</v>
      </c>
      <c r="AO305" s="3">
        <v>3</v>
      </c>
    </row>
    <row r="306" spans="1:41" x14ac:dyDescent="0.25">
      <c r="A306" s="1" t="s">
        <v>446</v>
      </c>
      <c r="C306" s="1" t="s">
        <v>387</v>
      </c>
      <c r="D306" s="1">
        <v>161.74050072914901</v>
      </c>
      <c r="E306" s="1">
        <v>-71.510547093796802</v>
      </c>
      <c r="F306" s="1">
        <v>5000</v>
      </c>
      <c r="G306" s="1" t="s">
        <v>447</v>
      </c>
      <c r="H306" s="1">
        <v>700</v>
      </c>
      <c r="I306" s="1" t="s">
        <v>44</v>
      </c>
      <c r="J306" s="1" t="s">
        <v>133</v>
      </c>
      <c r="M306" s="1" t="s">
        <v>134</v>
      </c>
      <c r="N306" s="1" t="s">
        <v>115</v>
      </c>
      <c r="O306" s="1" t="s">
        <v>306</v>
      </c>
      <c r="P306" s="1" t="s">
        <v>404</v>
      </c>
      <c r="S306" s="1">
        <v>54166</v>
      </c>
      <c r="T306" s="1" t="s">
        <v>52</v>
      </c>
      <c r="V306" s="1" t="s">
        <v>53</v>
      </c>
      <c r="W306" s="1" t="s">
        <v>54</v>
      </c>
      <c r="X306" s="1" t="s">
        <v>55</v>
      </c>
      <c r="Y306" s="1" t="s">
        <v>251</v>
      </c>
      <c r="AA306" s="14">
        <v>32143</v>
      </c>
      <c r="AH306" s="1">
        <v>80</v>
      </c>
      <c r="AI306" s="1">
        <v>14.14</v>
      </c>
      <c r="AJ306" s="1">
        <v>0.18</v>
      </c>
      <c r="AK306" s="2">
        <v>3.7</v>
      </c>
      <c r="AL306" s="1">
        <v>111</v>
      </c>
      <c r="AM306" s="3">
        <v>42</v>
      </c>
      <c r="AN306" s="1">
        <v>4</v>
      </c>
      <c r="AO306" s="3">
        <v>2</v>
      </c>
    </row>
    <row r="307" spans="1:41" x14ac:dyDescent="0.25">
      <c r="A307" s="1" t="s">
        <v>448</v>
      </c>
      <c r="C307" s="1" t="s">
        <v>387</v>
      </c>
      <c r="D307" s="1">
        <v>161.330525051471</v>
      </c>
      <c r="E307" s="1">
        <v>-71.800533331347197</v>
      </c>
      <c r="F307" s="1">
        <v>5000</v>
      </c>
      <c r="G307" s="1" t="s">
        <v>449</v>
      </c>
      <c r="H307" s="1">
        <v>1500</v>
      </c>
      <c r="I307" s="1" t="s">
        <v>44</v>
      </c>
      <c r="J307" s="1" t="s">
        <v>450</v>
      </c>
      <c r="M307" s="1" t="s">
        <v>134</v>
      </c>
      <c r="N307" s="1" t="s">
        <v>115</v>
      </c>
      <c r="O307" s="1" t="s">
        <v>306</v>
      </c>
      <c r="P307" s="1" t="s">
        <v>404</v>
      </c>
      <c r="S307" s="1">
        <v>54167</v>
      </c>
      <c r="T307" s="1" t="s">
        <v>52</v>
      </c>
      <c r="V307" s="1" t="s">
        <v>53</v>
      </c>
      <c r="W307" s="1" t="s">
        <v>54</v>
      </c>
      <c r="X307" s="1" t="s">
        <v>55</v>
      </c>
      <c r="Y307" s="1" t="s">
        <v>251</v>
      </c>
      <c r="AA307" s="14">
        <v>32143</v>
      </c>
      <c r="AH307" s="1">
        <v>26</v>
      </c>
      <c r="AM307" s="3">
        <v>100</v>
      </c>
      <c r="AN307" s="1">
        <v>18</v>
      </c>
      <c r="AO307" s="3">
        <v>9</v>
      </c>
    </row>
    <row r="308" spans="1:41" x14ac:dyDescent="0.25">
      <c r="A308" s="1" t="s">
        <v>451</v>
      </c>
      <c r="C308" s="1" t="s">
        <v>387</v>
      </c>
      <c r="D308" s="1">
        <v>161.32052714806099</v>
      </c>
      <c r="E308" s="1">
        <v>-71.840531225254395</v>
      </c>
      <c r="F308" s="1">
        <v>5000</v>
      </c>
      <c r="G308" s="1" t="s">
        <v>449</v>
      </c>
      <c r="H308" s="1">
        <v>1450</v>
      </c>
      <c r="I308" s="1" t="s">
        <v>44</v>
      </c>
      <c r="J308" s="1" t="s">
        <v>450</v>
      </c>
      <c r="M308" s="1" t="s">
        <v>134</v>
      </c>
      <c r="N308" s="1" t="s">
        <v>115</v>
      </c>
      <c r="O308" s="1" t="s">
        <v>306</v>
      </c>
      <c r="P308" s="1" t="s">
        <v>404</v>
      </c>
      <c r="S308" s="1">
        <v>54168</v>
      </c>
      <c r="T308" s="1" t="s">
        <v>52</v>
      </c>
      <c r="V308" s="1" t="s">
        <v>53</v>
      </c>
      <c r="W308" s="1" t="s">
        <v>54</v>
      </c>
      <c r="X308" s="1" t="s">
        <v>55</v>
      </c>
      <c r="Y308" s="1" t="s">
        <v>251</v>
      </c>
      <c r="AA308" s="14">
        <v>32143</v>
      </c>
      <c r="AH308" s="1">
        <v>8</v>
      </c>
      <c r="AI308" s="1">
        <v>13.05</v>
      </c>
      <c r="AJ308" s="1">
        <v>0.22</v>
      </c>
      <c r="AK308" s="2">
        <v>4.34</v>
      </c>
      <c r="AL308" s="1">
        <v>100</v>
      </c>
      <c r="AM308" s="3">
        <v>98</v>
      </c>
      <c r="AN308" s="1">
        <v>12</v>
      </c>
      <c r="AO308" s="3">
        <v>6</v>
      </c>
    </row>
    <row r="309" spans="1:41" x14ac:dyDescent="0.25">
      <c r="A309" s="1" t="s">
        <v>452</v>
      </c>
      <c r="C309" s="1" t="s">
        <v>387</v>
      </c>
      <c r="D309" s="1">
        <v>161.380528184562</v>
      </c>
      <c r="E309" s="1">
        <v>-71.9005277329031</v>
      </c>
      <c r="F309" s="1">
        <v>5000</v>
      </c>
      <c r="G309" s="1" t="s">
        <v>449</v>
      </c>
      <c r="H309" s="1">
        <v>1550</v>
      </c>
      <c r="I309" s="1" t="s">
        <v>44</v>
      </c>
      <c r="J309" s="1" t="s">
        <v>450</v>
      </c>
      <c r="M309" s="1" t="s">
        <v>134</v>
      </c>
      <c r="N309" s="1" t="s">
        <v>115</v>
      </c>
      <c r="O309" s="1" t="s">
        <v>306</v>
      </c>
      <c r="P309" s="1" t="s">
        <v>404</v>
      </c>
      <c r="S309" s="1">
        <v>54169</v>
      </c>
      <c r="T309" s="1" t="s">
        <v>52</v>
      </c>
      <c r="V309" s="1" t="s">
        <v>53</v>
      </c>
      <c r="W309" s="1" t="s">
        <v>54</v>
      </c>
      <c r="X309" s="1" t="s">
        <v>55</v>
      </c>
      <c r="Y309" s="1" t="s">
        <v>251</v>
      </c>
      <c r="AA309" s="14">
        <v>32143</v>
      </c>
      <c r="AH309" s="1">
        <v>56</v>
      </c>
      <c r="AI309" s="1">
        <v>13.5</v>
      </c>
      <c r="AJ309" s="1">
        <v>0.17</v>
      </c>
      <c r="AK309" s="2">
        <v>3.48</v>
      </c>
      <c r="AL309" s="1">
        <v>100</v>
      </c>
      <c r="AM309" s="3">
        <v>100</v>
      </c>
      <c r="AN309" s="1">
        <v>8</v>
      </c>
      <c r="AO309" s="3">
        <v>4</v>
      </c>
    </row>
    <row r="310" spans="1:41" x14ac:dyDescent="0.25">
      <c r="A310" s="1" t="s">
        <v>453</v>
      </c>
      <c r="C310" s="1" t="s">
        <v>387</v>
      </c>
      <c r="D310" s="1">
        <v>163.440785404325</v>
      </c>
      <c r="E310" s="1">
        <v>-77.180227468006706</v>
      </c>
      <c r="F310" s="1">
        <v>5000</v>
      </c>
      <c r="G310" s="1" t="s">
        <v>454</v>
      </c>
      <c r="H310" s="1">
        <v>5</v>
      </c>
      <c r="I310" s="1" t="s">
        <v>44</v>
      </c>
      <c r="J310" s="1" t="s">
        <v>455</v>
      </c>
      <c r="M310" s="1" t="s">
        <v>346</v>
      </c>
      <c r="N310" s="1" t="s">
        <v>48</v>
      </c>
      <c r="O310" s="1" t="s">
        <v>49</v>
      </c>
      <c r="P310" s="1" t="s">
        <v>162</v>
      </c>
      <c r="S310" s="1">
        <v>47184</v>
      </c>
      <c r="T310" s="1" t="s">
        <v>52</v>
      </c>
      <c r="V310" s="1" t="s">
        <v>53</v>
      </c>
      <c r="W310" s="1" t="s">
        <v>54</v>
      </c>
      <c r="X310" s="1" t="s">
        <v>55</v>
      </c>
      <c r="Y310" s="1" t="s">
        <v>251</v>
      </c>
      <c r="AA310" s="14">
        <v>31778</v>
      </c>
      <c r="AM310" s="3">
        <v>99</v>
      </c>
      <c r="AN310" s="1">
        <v>10</v>
      </c>
      <c r="AO310" s="3">
        <v>5</v>
      </c>
    </row>
    <row r="311" spans="1:41" x14ac:dyDescent="0.25">
      <c r="A311" s="1" t="s">
        <v>456</v>
      </c>
      <c r="C311" s="1" t="s">
        <v>387</v>
      </c>
      <c r="D311" s="1">
        <v>162.540825962128</v>
      </c>
      <c r="E311" s="1">
        <v>-77.230228449074204</v>
      </c>
      <c r="F311" s="1">
        <v>5000</v>
      </c>
      <c r="G311" s="1" t="s">
        <v>457</v>
      </c>
      <c r="H311" s="1">
        <v>1113</v>
      </c>
      <c r="I311" s="1" t="s">
        <v>44</v>
      </c>
      <c r="J311" s="1" t="s">
        <v>133</v>
      </c>
      <c r="M311" s="1" t="s">
        <v>134</v>
      </c>
      <c r="N311" s="1" t="s">
        <v>48</v>
      </c>
      <c r="O311" s="1" t="s">
        <v>49</v>
      </c>
      <c r="P311" s="1" t="s">
        <v>162</v>
      </c>
      <c r="S311" s="1">
        <v>47166</v>
      </c>
      <c r="T311" s="1" t="s">
        <v>52</v>
      </c>
      <c r="V311" s="1" t="s">
        <v>53</v>
      </c>
      <c r="W311" s="1" t="s">
        <v>54</v>
      </c>
      <c r="X311" s="1" t="s">
        <v>55</v>
      </c>
      <c r="Y311" s="1" t="s">
        <v>251</v>
      </c>
      <c r="AA311" s="14">
        <v>31778</v>
      </c>
      <c r="AI311" s="1">
        <v>13.2</v>
      </c>
      <c r="AK311" s="2">
        <v>3.6</v>
      </c>
      <c r="AM311" s="3">
        <v>80</v>
      </c>
      <c r="AN311" s="1">
        <v>10</v>
      </c>
      <c r="AO311" s="3">
        <v>5</v>
      </c>
    </row>
    <row r="312" spans="1:41" x14ac:dyDescent="0.25">
      <c r="A312" s="1" t="s">
        <v>458</v>
      </c>
      <c r="C312" s="1" t="s">
        <v>387</v>
      </c>
      <c r="D312" s="1">
        <v>162.540825962128</v>
      </c>
      <c r="E312" s="1">
        <v>-77.230228449074204</v>
      </c>
      <c r="F312" s="1">
        <v>5000</v>
      </c>
      <c r="G312" s="1" t="s">
        <v>457</v>
      </c>
      <c r="H312" s="1">
        <v>1034</v>
      </c>
      <c r="I312" s="1" t="s">
        <v>44</v>
      </c>
      <c r="J312" s="1" t="s">
        <v>133</v>
      </c>
      <c r="M312" s="1" t="s">
        <v>134</v>
      </c>
      <c r="N312" s="1" t="s">
        <v>48</v>
      </c>
      <c r="O312" s="1" t="s">
        <v>49</v>
      </c>
      <c r="P312" s="1" t="s">
        <v>162</v>
      </c>
      <c r="S312" s="1">
        <v>47167</v>
      </c>
      <c r="T312" s="1" t="s">
        <v>52</v>
      </c>
      <c r="V312" s="1" t="s">
        <v>53</v>
      </c>
      <c r="W312" s="1" t="s">
        <v>54</v>
      </c>
      <c r="X312" s="1" t="s">
        <v>55</v>
      </c>
      <c r="Y312" s="1" t="s">
        <v>251</v>
      </c>
      <c r="AA312" s="14">
        <v>31778</v>
      </c>
      <c r="AM312" s="3">
        <v>83</v>
      </c>
      <c r="AN312" s="1">
        <v>14</v>
      </c>
      <c r="AO312" s="3">
        <v>7</v>
      </c>
    </row>
    <row r="313" spans="1:41" x14ac:dyDescent="0.25">
      <c r="A313" s="1" t="s">
        <v>459</v>
      </c>
      <c r="C313" s="1" t="s">
        <v>387</v>
      </c>
      <c r="D313" s="1">
        <v>162.540825962128</v>
      </c>
      <c r="E313" s="1">
        <v>-77.230228449074204</v>
      </c>
      <c r="F313" s="1">
        <v>5000</v>
      </c>
      <c r="G313" s="1" t="s">
        <v>457</v>
      </c>
      <c r="H313" s="1">
        <v>1041</v>
      </c>
      <c r="I313" s="1" t="s">
        <v>44</v>
      </c>
      <c r="J313" s="1" t="s">
        <v>133</v>
      </c>
      <c r="M313" s="1" t="s">
        <v>134</v>
      </c>
      <c r="N313" s="1" t="s">
        <v>48</v>
      </c>
      <c r="O313" s="1" t="s">
        <v>49</v>
      </c>
      <c r="P313" s="1" t="s">
        <v>162</v>
      </c>
      <c r="S313" s="1">
        <v>47168</v>
      </c>
      <c r="T313" s="1" t="s">
        <v>52</v>
      </c>
      <c r="V313" s="1" t="s">
        <v>53</v>
      </c>
      <c r="W313" s="1" t="s">
        <v>54</v>
      </c>
      <c r="X313" s="1" t="s">
        <v>55</v>
      </c>
      <c r="Y313" s="1" t="s">
        <v>251</v>
      </c>
      <c r="AA313" s="14">
        <v>31778</v>
      </c>
      <c r="AI313" s="1">
        <v>12.9</v>
      </c>
      <c r="AK313" s="2">
        <v>5</v>
      </c>
      <c r="AM313" s="3">
        <v>66</v>
      </c>
      <c r="AN313" s="1">
        <v>8</v>
      </c>
      <c r="AO313" s="3">
        <v>4</v>
      </c>
    </row>
    <row r="314" spans="1:41" x14ac:dyDescent="0.25">
      <c r="A314" s="1" t="s">
        <v>460</v>
      </c>
      <c r="C314" s="1" t="s">
        <v>387</v>
      </c>
      <c r="D314" s="1">
        <v>162.540825962128</v>
      </c>
      <c r="E314" s="1">
        <v>-77.230228449074204</v>
      </c>
      <c r="F314" s="1">
        <v>5000</v>
      </c>
      <c r="G314" s="1" t="s">
        <v>457</v>
      </c>
      <c r="H314" s="1">
        <v>949</v>
      </c>
      <c r="I314" s="1" t="s">
        <v>44</v>
      </c>
      <c r="J314" s="1" t="s">
        <v>133</v>
      </c>
      <c r="M314" s="1" t="s">
        <v>134</v>
      </c>
      <c r="N314" s="1" t="s">
        <v>48</v>
      </c>
      <c r="O314" s="1" t="s">
        <v>49</v>
      </c>
      <c r="P314" s="1" t="s">
        <v>162</v>
      </c>
      <c r="S314" s="1">
        <v>47169</v>
      </c>
      <c r="T314" s="1" t="s">
        <v>52</v>
      </c>
      <c r="V314" s="1" t="s">
        <v>53</v>
      </c>
      <c r="W314" s="1" t="s">
        <v>54</v>
      </c>
      <c r="X314" s="1" t="s">
        <v>55</v>
      </c>
      <c r="Y314" s="1" t="s">
        <v>251</v>
      </c>
      <c r="AA314" s="14">
        <v>31778</v>
      </c>
      <c r="AM314" s="3">
        <v>64</v>
      </c>
      <c r="AN314" s="1">
        <v>16</v>
      </c>
      <c r="AO314" s="3">
        <v>8</v>
      </c>
    </row>
    <row r="315" spans="1:41" x14ac:dyDescent="0.25">
      <c r="A315" s="1" t="s">
        <v>461</v>
      </c>
      <c r="C315" s="1" t="s">
        <v>387</v>
      </c>
      <c r="D315" s="1">
        <v>162.540825962128</v>
      </c>
      <c r="E315" s="1">
        <v>-77.230228449074204</v>
      </c>
      <c r="F315" s="1">
        <v>5000</v>
      </c>
      <c r="G315" s="1" t="s">
        <v>457</v>
      </c>
      <c r="H315" s="1">
        <v>856</v>
      </c>
      <c r="I315" s="1" t="s">
        <v>44</v>
      </c>
      <c r="J315" s="1" t="s">
        <v>133</v>
      </c>
      <c r="M315" s="1" t="s">
        <v>134</v>
      </c>
      <c r="N315" s="1" t="s">
        <v>48</v>
      </c>
      <c r="O315" s="1" t="s">
        <v>49</v>
      </c>
      <c r="P315" s="1" t="s">
        <v>162</v>
      </c>
      <c r="S315" s="1">
        <v>47170</v>
      </c>
      <c r="T315" s="1" t="s">
        <v>52</v>
      </c>
      <c r="V315" s="1" t="s">
        <v>53</v>
      </c>
      <c r="W315" s="1" t="s">
        <v>54</v>
      </c>
      <c r="X315" s="1" t="s">
        <v>55</v>
      </c>
      <c r="Y315" s="1" t="s">
        <v>251</v>
      </c>
      <c r="AA315" s="14">
        <v>31778</v>
      </c>
      <c r="AI315" s="1">
        <v>13.3</v>
      </c>
      <c r="AK315" s="2">
        <v>3</v>
      </c>
      <c r="AM315" s="3">
        <v>69</v>
      </c>
      <c r="AN315" s="1">
        <v>6</v>
      </c>
      <c r="AO315" s="3">
        <v>3</v>
      </c>
    </row>
    <row r="316" spans="1:41" x14ac:dyDescent="0.25">
      <c r="A316" s="1" t="s">
        <v>462</v>
      </c>
      <c r="C316" s="1" t="s">
        <v>387</v>
      </c>
      <c r="D316" s="1">
        <v>162.540825962128</v>
      </c>
      <c r="E316" s="1">
        <v>-77.230228449074204</v>
      </c>
      <c r="F316" s="1">
        <v>5000</v>
      </c>
      <c r="G316" s="1" t="s">
        <v>457</v>
      </c>
      <c r="H316" s="1">
        <v>763</v>
      </c>
      <c r="I316" s="1" t="s">
        <v>44</v>
      </c>
      <c r="J316" s="1" t="s">
        <v>133</v>
      </c>
      <c r="M316" s="1" t="s">
        <v>134</v>
      </c>
      <c r="N316" s="1" t="s">
        <v>48</v>
      </c>
      <c r="O316" s="1" t="s">
        <v>49</v>
      </c>
      <c r="P316" s="1" t="s">
        <v>162</v>
      </c>
      <c r="S316" s="1">
        <v>47171</v>
      </c>
      <c r="T316" s="1" t="s">
        <v>52</v>
      </c>
      <c r="V316" s="1" t="s">
        <v>53</v>
      </c>
      <c r="W316" s="1" t="s">
        <v>54</v>
      </c>
      <c r="X316" s="1" t="s">
        <v>55</v>
      </c>
      <c r="Y316" s="1" t="s">
        <v>251</v>
      </c>
      <c r="AA316" s="14">
        <v>31778</v>
      </c>
      <c r="AM316" s="3">
        <v>50</v>
      </c>
      <c r="AN316" s="1">
        <v>8</v>
      </c>
      <c r="AO316" s="3">
        <v>4</v>
      </c>
    </row>
    <row r="317" spans="1:41" x14ac:dyDescent="0.25">
      <c r="A317" s="1" t="s">
        <v>463</v>
      </c>
      <c r="C317" s="1" t="s">
        <v>387</v>
      </c>
      <c r="D317" s="1">
        <v>162.540825962128</v>
      </c>
      <c r="E317" s="1">
        <v>-77.230228449074204</v>
      </c>
      <c r="F317" s="1">
        <v>5000</v>
      </c>
      <c r="G317" s="1" t="s">
        <v>457</v>
      </c>
      <c r="H317" s="1">
        <v>671</v>
      </c>
      <c r="I317" s="1" t="s">
        <v>44</v>
      </c>
      <c r="J317" s="1" t="s">
        <v>133</v>
      </c>
      <c r="M317" s="1" t="s">
        <v>134</v>
      </c>
      <c r="N317" s="1" t="s">
        <v>48</v>
      </c>
      <c r="O317" s="1" t="s">
        <v>49</v>
      </c>
      <c r="P317" s="1" t="s">
        <v>162</v>
      </c>
      <c r="S317" s="1">
        <v>47172</v>
      </c>
      <c r="T317" s="1" t="s">
        <v>52</v>
      </c>
      <c r="V317" s="1" t="s">
        <v>53</v>
      </c>
      <c r="W317" s="1" t="s">
        <v>54</v>
      </c>
      <c r="X317" s="1" t="s">
        <v>55</v>
      </c>
      <c r="Y317" s="1" t="s">
        <v>251</v>
      </c>
      <c r="AA317" s="14">
        <v>31778</v>
      </c>
      <c r="AI317" s="1">
        <v>14.1</v>
      </c>
      <c r="AK317" s="2">
        <v>4</v>
      </c>
      <c r="AM317" s="3">
        <v>44</v>
      </c>
      <c r="AN317" s="1">
        <v>8</v>
      </c>
      <c r="AO317" s="3">
        <v>4</v>
      </c>
    </row>
    <row r="318" spans="1:41" x14ac:dyDescent="0.25">
      <c r="A318" s="1" t="s">
        <v>464</v>
      </c>
      <c r="C318" s="1" t="s">
        <v>387</v>
      </c>
      <c r="D318" s="1">
        <v>162.540825962128</v>
      </c>
      <c r="E318" s="1">
        <v>-77.230228449074204</v>
      </c>
      <c r="F318" s="1">
        <v>5000</v>
      </c>
      <c r="G318" s="1" t="s">
        <v>457</v>
      </c>
      <c r="H318" s="1">
        <v>578</v>
      </c>
      <c r="I318" s="1" t="s">
        <v>44</v>
      </c>
      <c r="J318" s="1" t="s">
        <v>133</v>
      </c>
      <c r="M318" s="1" t="s">
        <v>134</v>
      </c>
      <c r="N318" s="1" t="s">
        <v>48</v>
      </c>
      <c r="O318" s="1" t="s">
        <v>49</v>
      </c>
      <c r="P318" s="1" t="s">
        <v>162</v>
      </c>
      <c r="S318" s="1">
        <v>47173</v>
      </c>
      <c r="T318" s="1" t="s">
        <v>52</v>
      </c>
      <c r="V318" s="1" t="s">
        <v>53</v>
      </c>
      <c r="W318" s="1" t="s">
        <v>54</v>
      </c>
      <c r="X318" s="1" t="s">
        <v>55</v>
      </c>
      <c r="Y318" s="1" t="s">
        <v>251</v>
      </c>
      <c r="AA318" s="14">
        <v>31778</v>
      </c>
      <c r="AM318" s="3">
        <v>48</v>
      </c>
      <c r="AN318" s="1">
        <v>14</v>
      </c>
      <c r="AO318" s="3">
        <v>7</v>
      </c>
    </row>
    <row r="319" spans="1:41" x14ac:dyDescent="0.25">
      <c r="A319" s="1" t="s">
        <v>464</v>
      </c>
      <c r="C319" s="1" t="s">
        <v>387</v>
      </c>
      <c r="D319" s="1">
        <v>162.540825962128</v>
      </c>
      <c r="E319" s="1">
        <v>-77.230228449074204</v>
      </c>
      <c r="F319" s="1">
        <v>5000</v>
      </c>
      <c r="G319" s="1" t="s">
        <v>457</v>
      </c>
      <c r="H319" s="1">
        <v>578</v>
      </c>
      <c r="I319" s="1" t="s">
        <v>44</v>
      </c>
      <c r="J319" s="1" t="s">
        <v>133</v>
      </c>
      <c r="M319" s="1" t="s">
        <v>134</v>
      </c>
      <c r="N319" s="1" t="s">
        <v>48</v>
      </c>
      <c r="O319" s="1" t="s">
        <v>49</v>
      </c>
      <c r="P319" s="1" t="s">
        <v>162</v>
      </c>
      <c r="S319" s="1">
        <v>47174</v>
      </c>
      <c r="T319" s="1" t="s">
        <v>52</v>
      </c>
      <c r="U319" s="1" t="s">
        <v>263</v>
      </c>
      <c r="V319" s="1" t="s">
        <v>53</v>
      </c>
      <c r="W319" s="1" t="s">
        <v>54</v>
      </c>
      <c r="X319" s="1" t="s">
        <v>55</v>
      </c>
      <c r="Y319" s="1" t="s">
        <v>251</v>
      </c>
      <c r="Z319" s="1" t="s">
        <v>264</v>
      </c>
      <c r="AA319" s="14">
        <v>31778</v>
      </c>
      <c r="AM319" s="3">
        <v>49</v>
      </c>
      <c r="AN319" s="1">
        <v>6</v>
      </c>
      <c r="AO319" s="3">
        <v>3</v>
      </c>
    </row>
    <row r="320" spans="1:41" x14ac:dyDescent="0.25">
      <c r="A320" s="1" t="s">
        <v>465</v>
      </c>
      <c r="C320" s="1" t="s">
        <v>387</v>
      </c>
      <c r="D320" s="1">
        <v>162.540825962128</v>
      </c>
      <c r="E320" s="1">
        <v>-77.230228449074204</v>
      </c>
      <c r="F320" s="1">
        <v>5000</v>
      </c>
      <c r="G320" s="1" t="s">
        <v>457</v>
      </c>
      <c r="H320" s="1">
        <v>485</v>
      </c>
      <c r="I320" s="1" t="s">
        <v>44</v>
      </c>
      <c r="J320" s="1" t="s">
        <v>133</v>
      </c>
      <c r="M320" s="1" t="s">
        <v>134</v>
      </c>
      <c r="N320" s="1" t="s">
        <v>48</v>
      </c>
      <c r="O320" s="1" t="s">
        <v>49</v>
      </c>
      <c r="P320" s="1" t="s">
        <v>162</v>
      </c>
      <c r="S320" s="1">
        <v>47175</v>
      </c>
      <c r="T320" s="1" t="s">
        <v>52</v>
      </c>
      <c r="V320" s="1" t="s">
        <v>53</v>
      </c>
      <c r="W320" s="1" t="s">
        <v>54</v>
      </c>
      <c r="X320" s="1" t="s">
        <v>55</v>
      </c>
      <c r="Y320" s="1" t="s">
        <v>251</v>
      </c>
      <c r="AA320" s="14">
        <v>31778</v>
      </c>
      <c r="AI320" s="1">
        <v>14.4</v>
      </c>
      <c r="AK320" s="2">
        <v>2.4</v>
      </c>
      <c r="AM320" s="3">
        <v>43</v>
      </c>
      <c r="AN320" s="1">
        <v>6</v>
      </c>
      <c r="AO320" s="3">
        <v>3</v>
      </c>
    </row>
    <row r="321" spans="1:41" x14ac:dyDescent="0.25">
      <c r="A321" s="1" t="s">
        <v>466</v>
      </c>
      <c r="C321" s="1" t="s">
        <v>387</v>
      </c>
      <c r="D321" s="1">
        <v>162.540825962128</v>
      </c>
      <c r="E321" s="1">
        <v>-77.230228449074204</v>
      </c>
      <c r="F321" s="1">
        <v>5000</v>
      </c>
      <c r="G321" s="1" t="s">
        <v>457</v>
      </c>
      <c r="H321" s="1">
        <v>393</v>
      </c>
      <c r="I321" s="1" t="s">
        <v>44</v>
      </c>
      <c r="J321" s="1" t="s">
        <v>133</v>
      </c>
      <c r="M321" s="1" t="s">
        <v>134</v>
      </c>
      <c r="N321" s="1" t="s">
        <v>48</v>
      </c>
      <c r="O321" s="1" t="s">
        <v>49</v>
      </c>
      <c r="P321" s="1" t="s">
        <v>162</v>
      </c>
      <c r="S321" s="1">
        <v>47176</v>
      </c>
      <c r="T321" s="1" t="s">
        <v>52</v>
      </c>
      <c r="V321" s="1" t="s">
        <v>53</v>
      </c>
      <c r="W321" s="1" t="s">
        <v>54</v>
      </c>
      <c r="X321" s="1" t="s">
        <v>55</v>
      </c>
      <c r="Y321" s="1" t="s">
        <v>251</v>
      </c>
      <c r="AA321" s="14">
        <v>31778</v>
      </c>
      <c r="AI321" s="1">
        <v>14.1</v>
      </c>
      <c r="AK321" s="2">
        <v>3.4</v>
      </c>
      <c r="AM321" s="3">
        <v>47</v>
      </c>
      <c r="AN321" s="1">
        <v>8</v>
      </c>
      <c r="AO321" s="3">
        <v>4</v>
      </c>
    </row>
    <row r="322" spans="1:41" x14ac:dyDescent="0.25">
      <c r="A322" s="1" t="s">
        <v>467</v>
      </c>
      <c r="C322" s="1" t="s">
        <v>387</v>
      </c>
      <c r="D322" s="1">
        <v>162.420836990395</v>
      </c>
      <c r="E322" s="1">
        <v>-77.300225015271394</v>
      </c>
      <c r="F322" s="1">
        <v>5000</v>
      </c>
      <c r="G322" s="1" t="s">
        <v>360</v>
      </c>
      <c r="H322" s="1">
        <v>780</v>
      </c>
      <c r="I322" s="1" t="s">
        <v>44</v>
      </c>
      <c r="J322" s="1" t="s">
        <v>133</v>
      </c>
      <c r="M322" s="1" t="s">
        <v>134</v>
      </c>
      <c r="N322" s="1" t="s">
        <v>48</v>
      </c>
      <c r="O322" s="1" t="s">
        <v>49</v>
      </c>
      <c r="P322" s="1" t="s">
        <v>162</v>
      </c>
      <c r="S322" s="1">
        <v>47177</v>
      </c>
      <c r="T322" s="1" t="s">
        <v>52</v>
      </c>
      <c r="V322" s="1" t="s">
        <v>53</v>
      </c>
      <c r="W322" s="1" t="s">
        <v>54</v>
      </c>
      <c r="X322" s="1" t="s">
        <v>55</v>
      </c>
      <c r="Y322" s="1" t="s">
        <v>251</v>
      </c>
      <c r="AA322" s="14">
        <v>31778</v>
      </c>
      <c r="AM322" s="3">
        <v>48</v>
      </c>
      <c r="AN322" s="1">
        <v>10</v>
      </c>
      <c r="AO322" s="3">
        <v>5</v>
      </c>
    </row>
    <row r="323" spans="1:41" x14ac:dyDescent="0.25">
      <c r="A323" s="1" t="s">
        <v>468</v>
      </c>
      <c r="C323" s="1" t="s">
        <v>387</v>
      </c>
      <c r="D323" s="1">
        <v>162.420836990395</v>
      </c>
      <c r="E323" s="1">
        <v>-77.300225015271394</v>
      </c>
      <c r="F323" s="1">
        <v>5000</v>
      </c>
      <c r="G323" s="1" t="s">
        <v>360</v>
      </c>
      <c r="H323" s="1">
        <v>687</v>
      </c>
      <c r="I323" s="1" t="s">
        <v>44</v>
      </c>
      <c r="J323" s="1" t="s">
        <v>133</v>
      </c>
      <c r="M323" s="1" t="s">
        <v>134</v>
      </c>
      <c r="N323" s="1" t="s">
        <v>48</v>
      </c>
      <c r="O323" s="1" t="s">
        <v>49</v>
      </c>
      <c r="P323" s="1" t="s">
        <v>162</v>
      </c>
      <c r="S323" s="1">
        <v>47178</v>
      </c>
      <c r="T323" s="1" t="s">
        <v>52</v>
      </c>
      <c r="V323" s="1" t="s">
        <v>53</v>
      </c>
      <c r="W323" s="1" t="s">
        <v>54</v>
      </c>
      <c r="X323" s="1" t="s">
        <v>55</v>
      </c>
      <c r="Y323" s="1" t="s">
        <v>251</v>
      </c>
      <c r="AA323" s="14">
        <v>31778</v>
      </c>
      <c r="AM323" s="3">
        <v>63</v>
      </c>
      <c r="AN323" s="1">
        <v>6</v>
      </c>
      <c r="AO323" s="3">
        <v>3</v>
      </c>
    </row>
    <row r="324" spans="1:41" x14ac:dyDescent="0.25">
      <c r="A324" s="1" t="s">
        <v>469</v>
      </c>
      <c r="C324" s="1" t="s">
        <v>387</v>
      </c>
      <c r="D324" s="1">
        <v>162.420836990395</v>
      </c>
      <c r="E324" s="1">
        <v>-77.300225015271394</v>
      </c>
      <c r="F324" s="1">
        <v>5000</v>
      </c>
      <c r="G324" s="1" t="s">
        <v>360</v>
      </c>
      <c r="H324" s="1">
        <v>595</v>
      </c>
      <c r="I324" s="1" t="s">
        <v>44</v>
      </c>
      <c r="J324" s="1" t="s">
        <v>133</v>
      </c>
      <c r="M324" s="1" t="s">
        <v>134</v>
      </c>
      <c r="N324" s="1" t="s">
        <v>48</v>
      </c>
      <c r="O324" s="1" t="s">
        <v>49</v>
      </c>
      <c r="P324" s="1" t="s">
        <v>162</v>
      </c>
      <c r="S324" s="1">
        <v>47179</v>
      </c>
      <c r="T324" s="1" t="s">
        <v>52</v>
      </c>
      <c r="V324" s="1" t="s">
        <v>53</v>
      </c>
      <c r="W324" s="1" t="s">
        <v>54</v>
      </c>
      <c r="X324" s="1" t="s">
        <v>55</v>
      </c>
      <c r="Y324" s="1" t="s">
        <v>251</v>
      </c>
      <c r="AA324" s="14">
        <v>31778</v>
      </c>
      <c r="AM324" s="3">
        <v>55</v>
      </c>
      <c r="AN324" s="1">
        <v>6</v>
      </c>
      <c r="AO324" s="3">
        <v>3</v>
      </c>
    </row>
    <row r="325" spans="1:41" x14ac:dyDescent="0.25">
      <c r="A325" s="1" t="s">
        <v>470</v>
      </c>
      <c r="C325" s="1" t="s">
        <v>387</v>
      </c>
      <c r="D325" s="1">
        <v>162.420836990395</v>
      </c>
      <c r="E325" s="1">
        <v>-77.300225015271394</v>
      </c>
      <c r="F325" s="1">
        <v>5000</v>
      </c>
      <c r="G325" s="1" t="s">
        <v>360</v>
      </c>
      <c r="H325" s="1">
        <v>502</v>
      </c>
      <c r="I325" s="1" t="s">
        <v>44</v>
      </c>
      <c r="J325" s="1" t="s">
        <v>133</v>
      </c>
      <c r="M325" s="1" t="s">
        <v>134</v>
      </c>
      <c r="N325" s="1" t="s">
        <v>48</v>
      </c>
      <c r="O325" s="1" t="s">
        <v>49</v>
      </c>
      <c r="P325" s="1" t="s">
        <v>162</v>
      </c>
      <c r="S325" s="1">
        <v>47180</v>
      </c>
      <c r="T325" s="1" t="s">
        <v>52</v>
      </c>
      <c r="V325" s="1" t="s">
        <v>53</v>
      </c>
      <c r="W325" s="1" t="s">
        <v>54</v>
      </c>
      <c r="X325" s="1" t="s">
        <v>55</v>
      </c>
      <c r="Y325" s="1" t="s">
        <v>251</v>
      </c>
      <c r="AA325" s="14">
        <v>31778</v>
      </c>
      <c r="AM325" s="3">
        <v>48</v>
      </c>
      <c r="AN325" s="1">
        <v>6</v>
      </c>
      <c r="AO325" s="3">
        <v>3</v>
      </c>
    </row>
    <row r="326" spans="1:41" x14ac:dyDescent="0.25">
      <c r="A326" s="1" t="s">
        <v>470</v>
      </c>
      <c r="C326" s="1" t="s">
        <v>387</v>
      </c>
      <c r="D326" s="1">
        <v>162.420836990395</v>
      </c>
      <c r="E326" s="1">
        <v>-77.300225015271394</v>
      </c>
      <c r="F326" s="1">
        <v>5000</v>
      </c>
      <c r="G326" s="1" t="s">
        <v>360</v>
      </c>
      <c r="H326" s="1">
        <v>502</v>
      </c>
      <c r="I326" s="1" t="s">
        <v>44</v>
      </c>
      <c r="J326" s="1" t="s">
        <v>133</v>
      </c>
      <c r="M326" s="1" t="s">
        <v>134</v>
      </c>
      <c r="N326" s="1" t="s">
        <v>48</v>
      </c>
      <c r="O326" s="1" t="s">
        <v>49</v>
      </c>
      <c r="P326" s="1" t="s">
        <v>162</v>
      </c>
      <c r="S326" s="1">
        <v>47181</v>
      </c>
      <c r="T326" s="1" t="s">
        <v>52</v>
      </c>
      <c r="U326" s="1" t="s">
        <v>263</v>
      </c>
      <c r="V326" s="1" t="s">
        <v>53</v>
      </c>
      <c r="W326" s="1" t="s">
        <v>54</v>
      </c>
      <c r="X326" s="1" t="s">
        <v>55</v>
      </c>
      <c r="Y326" s="1" t="s">
        <v>251</v>
      </c>
      <c r="Z326" s="1" t="s">
        <v>264</v>
      </c>
      <c r="AA326" s="14">
        <v>31778</v>
      </c>
      <c r="AM326" s="3">
        <v>45</v>
      </c>
      <c r="AN326" s="1">
        <v>10</v>
      </c>
      <c r="AO326" s="3">
        <v>5</v>
      </c>
    </row>
    <row r="327" spans="1:41" x14ac:dyDescent="0.25">
      <c r="A327" s="1" t="s">
        <v>471</v>
      </c>
      <c r="C327" s="1" t="s">
        <v>387</v>
      </c>
      <c r="D327" s="1">
        <v>163.4407904887</v>
      </c>
      <c r="E327" s="1">
        <v>-77.240224083141598</v>
      </c>
      <c r="F327" s="1">
        <v>5000</v>
      </c>
      <c r="G327" s="1" t="s">
        <v>472</v>
      </c>
      <c r="H327" s="1">
        <v>15</v>
      </c>
      <c r="I327" s="1" t="s">
        <v>44</v>
      </c>
      <c r="J327" s="1" t="s">
        <v>455</v>
      </c>
      <c r="M327" s="1" t="s">
        <v>346</v>
      </c>
      <c r="N327" s="1" t="s">
        <v>48</v>
      </c>
      <c r="O327" s="1" t="s">
        <v>49</v>
      </c>
      <c r="P327" s="1" t="s">
        <v>162</v>
      </c>
      <c r="S327" s="1">
        <v>47182</v>
      </c>
      <c r="T327" s="1" t="s">
        <v>52</v>
      </c>
      <c r="V327" s="1" t="s">
        <v>53</v>
      </c>
      <c r="W327" s="1" t="s">
        <v>54</v>
      </c>
      <c r="X327" s="1" t="s">
        <v>55</v>
      </c>
      <c r="Y327" s="1" t="s">
        <v>251</v>
      </c>
      <c r="AA327" s="14">
        <v>31778</v>
      </c>
      <c r="AM327" s="3">
        <v>93</v>
      </c>
      <c r="AN327" s="1">
        <v>12</v>
      </c>
      <c r="AO327" s="3">
        <v>6</v>
      </c>
    </row>
    <row r="328" spans="1:41" x14ac:dyDescent="0.25">
      <c r="A328" s="1" t="s">
        <v>473</v>
      </c>
      <c r="C328" s="1" t="s">
        <v>387</v>
      </c>
      <c r="D328" s="1">
        <v>163.440785404325</v>
      </c>
      <c r="E328" s="1">
        <v>-77.180227468006706</v>
      </c>
      <c r="F328" s="1">
        <v>5000</v>
      </c>
      <c r="G328" s="1" t="s">
        <v>454</v>
      </c>
      <c r="H328" s="1">
        <v>4</v>
      </c>
      <c r="I328" s="1" t="s">
        <v>44</v>
      </c>
      <c r="J328" s="1" t="s">
        <v>455</v>
      </c>
      <c r="M328" s="1" t="s">
        <v>346</v>
      </c>
      <c r="N328" s="1" t="s">
        <v>48</v>
      </c>
      <c r="O328" s="1" t="s">
        <v>49</v>
      </c>
      <c r="P328" s="1" t="s">
        <v>162</v>
      </c>
      <c r="S328" s="1">
        <v>47183</v>
      </c>
      <c r="T328" s="1" t="s">
        <v>52</v>
      </c>
      <c r="V328" s="1" t="s">
        <v>53</v>
      </c>
      <c r="W328" s="1" t="s">
        <v>54</v>
      </c>
      <c r="X328" s="1" t="s">
        <v>55</v>
      </c>
      <c r="Y328" s="1" t="s">
        <v>251</v>
      </c>
      <c r="AA328" s="14">
        <v>31778</v>
      </c>
      <c r="AM328" s="3">
        <v>96</v>
      </c>
      <c r="AN328" s="1">
        <v>14</v>
      </c>
      <c r="AO328" s="3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allapatites</vt:lpstr>
      <vt:lpstr>allrows</vt:lpstr>
    </vt:vector>
  </TitlesOfParts>
  <Company>Victoria University of Wellington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Rupert Sutherland</dc:creator>
  <cp:lastModifiedBy>Rupert Sutherland</cp:lastModifiedBy>
  <dcterms:created xsi:type="dcterms:W3CDTF">2022-03-04T02:06:42Z</dcterms:created>
  <dcterms:modified xsi:type="dcterms:W3CDTF">2022-04-07T04:48:27Z</dcterms:modified>
</cp:coreProperties>
</file>